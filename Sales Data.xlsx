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UNI WORK\Data Scientist\Data Analytics\"/>
    </mc:Choice>
  </mc:AlternateContent>
  <bookViews>
    <workbookView xWindow="0" yWindow="0" windowWidth="7470" windowHeight="6705"/>
  </bookViews>
  <sheets>
    <sheet name="Dashboard" sheetId="6" r:id="rId1"/>
    <sheet name="Practice" sheetId="1" r:id="rId2"/>
    <sheet name="Sales Data" sheetId="2" r:id="rId3"/>
  </sheets>
  <definedNames>
    <definedName name="_xlnm._FilterDatabase" localSheetId="1" hidden="1">Practice!$A$6:$H$114</definedName>
    <definedName name="Slicer_Category">#N/A</definedName>
    <definedName name="Slicer_Reigion">#N/A</definedName>
  </definedNames>
  <calcPr calcId="152511"/>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6" l="1"/>
  <c r="I4" i="6"/>
  <c r="G4" i="6"/>
</calcChain>
</file>

<file path=xl/sharedStrings.xml><?xml version="1.0" encoding="utf-8"?>
<sst xmlns="http://schemas.openxmlformats.org/spreadsheetml/2006/main" count="349" uniqueCount="119">
  <si>
    <t>Sales Project</t>
  </si>
  <si>
    <t>Order-Id</t>
  </si>
  <si>
    <t>Reigion</t>
  </si>
  <si>
    <t>Category</t>
  </si>
  <si>
    <t>Quantity</t>
  </si>
  <si>
    <t>Sales</t>
  </si>
  <si>
    <t>Profit</t>
  </si>
  <si>
    <t>Date</t>
  </si>
  <si>
    <t>Product</t>
  </si>
  <si>
    <t>Laptop</t>
  </si>
  <si>
    <t>Electronics</t>
  </si>
  <si>
    <t>Smartphone</t>
  </si>
  <si>
    <t>Tablet</t>
  </si>
  <si>
    <t>Smartwatch</t>
  </si>
  <si>
    <t>Headphones</t>
  </si>
  <si>
    <t>Bluetooth Speaker</t>
  </si>
  <si>
    <t>Power Bank</t>
  </si>
  <si>
    <t>Keyboard</t>
  </si>
  <si>
    <t>Mouse</t>
  </si>
  <si>
    <t>Monitor</t>
  </si>
  <si>
    <t>Printer</t>
  </si>
  <si>
    <t>Webcam</t>
  </si>
  <si>
    <t>USB Flash Drive</t>
  </si>
  <si>
    <t>External Hard Drive</t>
  </si>
  <si>
    <t>Router</t>
  </si>
  <si>
    <t>Office Chair</t>
  </si>
  <si>
    <t>Furniture</t>
  </si>
  <si>
    <t>Office Desk</t>
  </si>
  <si>
    <t>Bookshelf</t>
  </si>
  <si>
    <t>Sofa</t>
  </si>
  <si>
    <t>Dining Table</t>
  </si>
  <si>
    <t>Bed</t>
  </si>
  <si>
    <t>Wardrobe</t>
  </si>
  <si>
    <t>Coffee Table</t>
  </si>
  <si>
    <t>Study Table</t>
  </si>
  <si>
    <t>Cushion</t>
  </si>
  <si>
    <t>T-Shirt</t>
  </si>
  <si>
    <t>Clothing</t>
  </si>
  <si>
    <t>Jeans</t>
  </si>
  <si>
    <t>Jacket</t>
  </si>
  <si>
    <t>Hoodie</t>
  </si>
  <si>
    <t>Shirt</t>
  </si>
  <si>
    <t>Dress</t>
  </si>
  <si>
    <t>Skirt</t>
  </si>
  <si>
    <t>Shoes</t>
  </si>
  <si>
    <t>Sneakers</t>
  </si>
  <si>
    <t>Sandals</t>
  </si>
  <si>
    <t>Backpack</t>
  </si>
  <si>
    <t>Accessories</t>
  </si>
  <si>
    <t>Handbag</t>
  </si>
  <si>
    <t>Wallet</t>
  </si>
  <si>
    <t>Belt</t>
  </si>
  <si>
    <t>Sunglasses</t>
  </si>
  <si>
    <t>Watch</t>
  </si>
  <si>
    <t>Cap</t>
  </si>
  <si>
    <t>Scarf</t>
  </si>
  <si>
    <t>Bracelet</t>
  </si>
  <si>
    <t>Necklace</t>
  </si>
  <si>
    <t>Rice</t>
  </si>
  <si>
    <t>Grocery</t>
  </si>
  <si>
    <t>Wheat Flour</t>
  </si>
  <si>
    <t>Sugar</t>
  </si>
  <si>
    <t>Salt</t>
  </si>
  <si>
    <t>Cooking Oil</t>
  </si>
  <si>
    <t>Tea</t>
  </si>
  <si>
    <t>Coffee</t>
  </si>
  <si>
    <t>Milk</t>
  </si>
  <si>
    <t>Bread</t>
  </si>
  <si>
    <t>Eggs</t>
  </si>
  <si>
    <t>Chicken</t>
  </si>
  <si>
    <t>Beef</t>
  </si>
  <si>
    <t>Apple</t>
  </si>
  <si>
    <t>Banana</t>
  </si>
  <si>
    <t>Orange</t>
  </si>
  <si>
    <t>Shampoo</t>
  </si>
  <si>
    <t>Personal Care</t>
  </si>
  <si>
    <t>Soap</t>
  </si>
  <si>
    <t>Toothpaste</t>
  </si>
  <si>
    <t>Toothbrush</t>
  </si>
  <si>
    <t>Face Wash</t>
  </si>
  <si>
    <t>Lotion</t>
  </si>
  <si>
    <t>Perfume</t>
  </si>
  <si>
    <t>Hair Oil</t>
  </si>
  <si>
    <t>Deodorant</t>
  </si>
  <si>
    <t>Sunscreen</t>
  </si>
  <si>
    <t>Football</t>
  </si>
  <si>
    <t>Sports</t>
  </si>
  <si>
    <t>Cricket Bat</t>
  </si>
  <si>
    <t>Cricket Ball</t>
  </si>
  <si>
    <t>Tennis Racket</t>
  </si>
  <si>
    <t>Basketball</t>
  </si>
  <si>
    <t>Volleyball</t>
  </si>
  <si>
    <t>Yoga Mat</t>
  </si>
  <si>
    <t>Dumbbells</t>
  </si>
  <si>
    <t>Skipping Rope</t>
  </si>
  <si>
    <t>Water Bottle</t>
  </si>
  <si>
    <t>Notebook</t>
  </si>
  <si>
    <t>Stationery</t>
  </si>
  <si>
    <t>Pen</t>
  </si>
  <si>
    <t>Pencil</t>
  </si>
  <si>
    <t>Eraser</t>
  </si>
  <si>
    <t>Marker</t>
  </si>
  <si>
    <t>Highlighter</t>
  </si>
  <si>
    <t>Stapler</t>
  </si>
  <si>
    <t>Calculator</t>
  </si>
  <si>
    <t>File Folder</t>
  </si>
  <si>
    <t>Diary</t>
  </si>
  <si>
    <t>North</t>
  </si>
  <si>
    <t>South</t>
  </si>
  <si>
    <t xml:space="preserve">East </t>
  </si>
  <si>
    <t>Waste</t>
  </si>
  <si>
    <t>Row Labels</t>
  </si>
  <si>
    <t>Grand Total</t>
  </si>
  <si>
    <t>Sum of Quantity</t>
  </si>
  <si>
    <t>Sum of Sales</t>
  </si>
  <si>
    <t>Total Sales</t>
  </si>
  <si>
    <t>Total Profit</t>
  </si>
  <si>
    <t>Total Quantity</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</si>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</sst>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quot;$&quot;#,##0.00"/>
    <numFmt numFmtId="165" formatCode="[$-409]d\-mmm\-yy;@"/>
  </numFmts>
  <fonts count="4" x14ac:knownFonts="1">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30">
    <xf numFmtId="0" fontId="0" fillId="0" borderId="0" xfId="0"/>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8" fontId="0" fillId="0" borderId="1" xfId="0" applyNumberFormat="1" applyBorder="1" applyAlignment="1">
      <alignment vertical="center"/>
    </xf>
    <xf numFmtId="164" fontId="0" fillId="0" borderId="1" xfId="0" applyNumberFormat="1" applyBorder="1" applyAlignment="1">
      <alignment horizontal="center" vertical="center"/>
    </xf>
    <xf numFmtId="164" fontId="0" fillId="0" borderId="1" xfId="0" applyNumberFormat="1" applyBorder="1" applyAlignment="1">
      <alignment vertical="center"/>
    </xf>
    <xf numFmtId="8" fontId="1" fillId="3" borderId="1"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165" fontId="1" fillId="0" borderId="1" xfId="0" applyNumberFormat="1" applyFont="1" applyBorder="1" applyAlignment="1">
      <alignment horizontal="center" vertical="center"/>
    </xf>
    <xf numFmtId="165" fontId="1" fillId="3" borderId="1" xfId="0" applyNumberFormat="1" applyFont="1" applyFill="1" applyBorder="1" applyAlignment="1">
      <alignment horizontal="center" vertical="center"/>
    </xf>
    <xf numFmtId="165" fontId="1" fillId="0" borderId="1" xfId="0" applyNumberFormat="1" applyFont="1"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0" fontId="3" fillId="2" borderId="10" xfId="0" applyFont="1" applyFill="1" applyBorder="1" applyAlignment="1">
      <alignment horizont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0"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1"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mn-lt"/>
              </a:rPr>
              <a:t>Sales By category</a:t>
            </a:r>
          </a:p>
        </c:rich>
      </c:tx>
      <c:layout>
        <c:manualLayout>
          <c:xMode val="edge"/>
          <c:yMode val="edge"/>
          <c:x val="0.33503614789510072"/>
          <c:y val="3.16840233680467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Dashboard!$B$3</c:f>
              <c:strCache>
                <c:ptCount val="1"/>
                <c:pt idx="0">
                  <c:v>Sum of Sales</c:v>
                </c:pt>
              </c:strCache>
            </c:strRef>
          </c:tx>
          <c:spPr>
            <a:solidFill>
              <a:schemeClr val="accent1"/>
            </a:solidFill>
            <a:ln>
              <a:noFill/>
            </a:ln>
            <a:effectLst/>
          </c:spPr>
          <c:invertIfNegative val="0"/>
          <c:cat>
            <c:strRef>
              <c:f>Dashboard!$A$4:$A$12</c:f>
              <c:strCache>
                <c:ptCount val="8"/>
                <c:pt idx="0">
                  <c:v>Accessories</c:v>
                </c:pt>
                <c:pt idx="1">
                  <c:v>Clothing</c:v>
                </c:pt>
                <c:pt idx="2">
                  <c:v>Electronics</c:v>
                </c:pt>
                <c:pt idx="3">
                  <c:v>Furniture</c:v>
                </c:pt>
                <c:pt idx="4">
                  <c:v>Grocery</c:v>
                </c:pt>
                <c:pt idx="5">
                  <c:v>Personal Care</c:v>
                </c:pt>
                <c:pt idx="6">
                  <c:v>Sports</c:v>
                </c:pt>
                <c:pt idx="7">
                  <c:v>Stationery</c:v>
                </c:pt>
              </c:strCache>
            </c:strRef>
          </c:cat>
          <c:val>
            <c:numRef>
              <c:f>Dashboard!$B$4:$B$12</c:f>
              <c:numCache>
                <c:formatCode>General</c:formatCode>
                <c:ptCount val="8"/>
                <c:pt idx="0">
                  <c:v>1330</c:v>
                </c:pt>
                <c:pt idx="1">
                  <c:v>1330</c:v>
                </c:pt>
                <c:pt idx="2">
                  <c:v>7150</c:v>
                </c:pt>
                <c:pt idx="3">
                  <c:v>4245</c:v>
                </c:pt>
                <c:pt idx="4">
                  <c:v>1995</c:v>
                </c:pt>
                <c:pt idx="5">
                  <c:v>1330</c:v>
                </c:pt>
                <c:pt idx="6">
                  <c:v>1330</c:v>
                </c:pt>
                <c:pt idx="7">
                  <c:v>3724</c:v>
                </c:pt>
              </c:numCache>
            </c:numRef>
          </c:val>
        </c:ser>
        <c:ser>
          <c:idx val="1"/>
          <c:order val="1"/>
          <c:tx>
            <c:strRef>
              <c:f>Dashboard!$C$3</c:f>
              <c:strCache>
                <c:ptCount val="1"/>
                <c:pt idx="0">
                  <c:v>Sum of Profit</c:v>
                </c:pt>
              </c:strCache>
            </c:strRef>
          </c:tx>
          <c:spPr>
            <a:solidFill>
              <a:schemeClr val="accent2"/>
            </a:solidFill>
            <a:ln>
              <a:noFill/>
            </a:ln>
            <a:effectLst/>
          </c:spPr>
          <c:invertIfNegative val="0"/>
          <c:cat>
            <c:strRef>
              <c:f>Dashboard!$A$4:$A$12</c:f>
              <c:strCache>
                <c:ptCount val="8"/>
                <c:pt idx="0">
                  <c:v>Accessories</c:v>
                </c:pt>
                <c:pt idx="1">
                  <c:v>Clothing</c:v>
                </c:pt>
                <c:pt idx="2">
                  <c:v>Electronics</c:v>
                </c:pt>
                <c:pt idx="3">
                  <c:v>Furniture</c:v>
                </c:pt>
                <c:pt idx="4">
                  <c:v>Grocery</c:v>
                </c:pt>
                <c:pt idx="5">
                  <c:v>Personal Care</c:v>
                </c:pt>
                <c:pt idx="6">
                  <c:v>Sports</c:v>
                </c:pt>
                <c:pt idx="7">
                  <c:v>Stationery</c:v>
                </c:pt>
              </c:strCache>
            </c:strRef>
          </c:cat>
          <c:val>
            <c:numRef>
              <c:f>Dashboard!$C$4:$C$12</c:f>
              <c:numCache>
                <c:formatCode>General</c:formatCode>
                <c:ptCount val="8"/>
                <c:pt idx="0">
                  <c:v>50</c:v>
                </c:pt>
                <c:pt idx="1">
                  <c:v>50</c:v>
                </c:pt>
                <c:pt idx="2">
                  <c:v>78</c:v>
                </c:pt>
                <c:pt idx="3">
                  <c:v>50</c:v>
                </c:pt>
                <c:pt idx="4">
                  <c:v>75</c:v>
                </c:pt>
                <c:pt idx="5">
                  <c:v>50</c:v>
                </c:pt>
                <c:pt idx="6">
                  <c:v>50</c:v>
                </c:pt>
                <c:pt idx="7">
                  <c:v>140</c:v>
                </c:pt>
              </c:numCache>
            </c:numRef>
          </c:val>
        </c:ser>
        <c:ser>
          <c:idx val="2"/>
          <c:order val="2"/>
          <c:tx>
            <c:strRef>
              <c:f>Dashboard!$D$3</c:f>
              <c:strCache>
                <c:ptCount val="1"/>
                <c:pt idx="0">
                  <c:v>Sum of Quantity</c:v>
                </c:pt>
              </c:strCache>
            </c:strRef>
          </c:tx>
          <c:spPr>
            <a:solidFill>
              <a:schemeClr val="accent3"/>
            </a:solidFill>
            <a:ln>
              <a:noFill/>
            </a:ln>
            <a:effectLst/>
          </c:spPr>
          <c:invertIfNegative val="0"/>
          <c:cat>
            <c:strRef>
              <c:f>Dashboard!$A$4:$A$12</c:f>
              <c:strCache>
                <c:ptCount val="8"/>
                <c:pt idx="0">
                  <c:v>Accessories</c:v>
                </c:pt>
                <c:pt idx="1">
                  <c:v>Clothing</c:v>
                </c:pt>
                <c:pt idx="2">
                  <c:v>Electronics</c:v>
                </c:pt>
                <c:pt idx="3">
                  <c:v>Furniture</c:v>
                </c:pt>
                <c:pt idx="4">
                  <c:v>Grocery</c:v>
                </c:pt>
                <c:pt idx="5">
                  <c:v>Personal Care</c:v>
                </c:pt>
                <c:pt idx="6">
                  <c:v>Sports</c:v>
                </c:pt>
                <c:pt idx="7">
                  <c:v>Stationery</c:v>
                </c:pt>
              </c:strCache>
            </c:strRef>
          </c:cat>
          <c:val>
            <c:numRef>
              <c:f>Dashboard!$D$4:$D$12</c:f>
              <c:numCache>
                <c:formatCode>General</c:formatCode>
                <c:ptCount val="8"/>
                <c:pt idx="0">
                  <c:v>37</c:v>
                </c:pt>
                <c:pt idx="1">
                  <c:v>44</c:v>
                </c:pt>
                <c:pt idx="2">
                  <c:v>52</c:v>
                </c:pt>
                <c:pt idx="3">
                  <c:v>40</c:v>
                </c:pt>
                <c:pt idx="4">
                  <c:v>60</c:v>
                </c:pt>
                <c:pt idx="5">
                  <c:v>34</c:v>
                </c:pt>
                <c:pt idx="6">
                  <c:v>41</c:v>
                </c:pt>
                <c:pt idx="7">
                  <c:v>115</c:v>
                </c:pt>
              </c:numCache>
            </c:numRef>
          </c:val>
        </c:ser>
        <c:dLbls>
          <c:showLegendKey val="0"/>
          <c:showVal val="0"/>
          <c:showCatName val="0"/>
          <c:showSerName val="0"/>
          <c:showPercent val="0"/>
          <c:showBubbleSize val="0"/>
        </c:dLbls>
        <c:gapWidth val="219"/>
        <c:overlap val="-27"/>
        <c:axId val="-1616068496"/>
        <c:axId val="-1616071760"/>
      </c:barChart>
      <c:catAx>
        <c:axId val="-161606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71760"/>
        <c:crosses val="autoZero"/>
        <c:auto val="1"/>
        <c:lblAlgn val="ctr"/>
        <c:lblOffset val="100"/>
        <c:noMultiLvlLbl val="0"/>
      </c:catAx>
      <c:valAx>
        <c:axId val="-161607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68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390525</xdr:colOff>
      <xdr:row>10</xdr:row>
      <xdr:rowOff>95250</xdr:rowOff>
    </xdr:from>
    <xdr:to>
      <xdr:col>14</xdr:col>
      <xdr:colOff>390525</xdr:colOff>
      <xdr:row>29</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285750</xdr:colOff>
      <xdr:row>14</xdr:row>
      <xdr:rowOff>171450</xdr:rowOff>
    </xdr:from>
    <xdr:to>
      <xdr:col>4</xdr:col>
      <xdr:colOff>247650</xdr:colOff>
      <xdr:row>28</xdr:row>
      <xdr:rowOff>28575</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1200" y="3105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95250</xdr:rowOff>
    </xdr:from>
    <xdr:to>
      <xdr:col>2</xdr:col>
      <xdr:colOff>133350</xdr:colOff>
      <xdr:row>27</xdr:row>
      <xdr:rowOff>142875</xdr:rowOff>
    </xdr:to>
    <mc:AlternateContent xmlns:mc="http://schemas.openxmlformats.org/markup-compatibility/2006" xmlns:a14="http://schemas.microsoft.com/office/drawing/2010/main">
      <mc:Choice Requires="a14">
        <xdr:graphicFrame macro="">
          <xdr:nvGraphicFramePr>
            <xdr:cNvPr id="4" name="Reigion"/>
            <xdr:cNvGraphicFramePr/>
          </xdr:nvGraphicFramePr>
          <xdr:xfrm>
            <a:off x="0" y="0"/>
            <a:ext cx="0" cy="0"/>
          </xdr:xfrm>
          <a:graphic>
            <a:graphicData uri="http://schemas.microsoft.com/office/drawing/2010/slicer">
              <sle:slicer xmlns:sle="http://schemas.microsoft.com/office/drawing/2010/slicer" name="Reigion"/>
            </a:graphicData>
          </a:graphic>
        </xdr:graphicFrame>
      </mc:Choice>
      <mc:Fallback xmlns="">
        <xdr:sp macro="" textlink="">
          <xdr:nvSpPr>
            <xdr:cNvPr id="0" name=""/>
            <xdr:cNvSpPr>
              <a:spLocks noTextEdit="1"/>
            </xdr:cNvSpPr>
          </xdr:nvSpPr>
          <xdr:spPr>
            <a:xfrm>
              <a:off x="0" y="3028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00.965788194444" createdVersion="5" refreshedVersion="5" minRefreshableVersion="3" recordCount="108">
  <cacheSource type="worksheet">
    <worksheetSource ref="A6:H114" sheet="Practice"/>
  </cacheSource>
  <cacheFields count="8">
    <cacheField name="Order-Id" numFmtId="0">
      <sharedItems containsSemiMixedTypes="0" containsString="0" containsNumber="1" containsInteger="1" minValue="1001" maxValue="1108"/>
    </cacheField>
    <cacheField name="Product" numFmtId="0">
      <sharedItems/>
    </cacheField>
    <cacheField name="Category" numFmtId="0">
      <sharedItems containsBlank="1" count="9">
        <s v="Electronics"/>
        <s v="Furniture"/>
        <s v="Clothing"/>
        <s v="Accessories"/>
        <s v="Grocery"/>
        <s v="Personal Care"/>
        <s v="Sports"/>
        <s v="Stationery"/>
        <m u="1"/>
      </sharedItems>
    </cacheField>
    <cacheField name="Reigion" numFmtId="0">
      <sharedItems count="4">
        <s v="North"/>
        <s v="South"/>
        <s v="East "/>
        <s v="Waste"/>
      </sharedItems>
    </cacheField>
    <cacheField name="Quantity" numFmtId="0">
      <sharedItems containsSemiMixedTypes="0" containsString="0" containsNumber="1" containsInteger="1" minValue="1" maxValue="9"/>
    </cacheField>
    <cacheField name="Sales" numFmtId="8">
      <sharedItems containsSemiMixedTypes="0" containsString="0" containsNumber="1" containsInteger="1" minValue="120" maxValue="1200"/>
    </cacheField>
    <cacheField name="Profit" numFmtId="164">
      <sharedItems containsSemiMixedTypes="0" containsString="0" containsNumber="1" containsInteger="1" minValue="1" maxValue="9"/>
    </cacheField>
    <cacheField name="Date" numFmtId="165">
      <sharedItems containsNonDate="0" containsDate="1" containsString="0" containsBlank="1" minDate="2026-01-01T00:00:00" maxDate="2026-04-18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8">
  <r>
    <n v="1001"/>
    <s v="Laptop"/>
    <x v="0"/>
    <x v="0"/>
    <n v="2"/>
    <n v="120"/>
    <n v="8"/>
    <d v="2026-01-01T00:00:00"/>
  </r>
  <r>
    <n v="1002"/>
    <s v="Smartphone"/>
    <x v="0"/>
    <x v="1"/>
    <n v="5"/>
    <n v="250"/>
    <n v="9"/>
    <d v="2026-01-02T00:00:00"/>
  </r>
  <r>
    <n v="1003"/>
    <s v="Tablet"/>
    <x v="0"/>
    <x v="2"/>
    <n v="3"/>
    <n v="450"/>
    <n v="6"/>
    <d v="2026-01-03T00:00:00"/>
  </r>
  <r>
    <n v="1004"/>
    <s v="Smartwatch"/>
    <x v="0"/>
    <x v="0"/>
    <n v="4"/>
    <n v="800"/>
    <n v="4"/>
    <d v="2026-01-04T00:00:00"/>
  </r>
  <r>
    <n v="1005"/>
    <s v="Headphones"/>
    <x v="0"/>
    <x v="3"/>
    <n v="1"/>
    <n v="150"/>
    <n v="1"/>
    <d v="2026-01-05T00:00:00"/>
  </r>
  <r>
    <n v="1006"/>
    <s v="Bluetooth Speaker"/>
    <x v="0"/>
    <x v="3"/>
    <n v="7"/>
    <n v="300"/>
    <n v="2"/>
    <d v="2026-01-06T00:00:00"/>
  </r>
  <r>
    <n v="1007"/>
    <s v="Power Bank"/>
    <x v="0"/>
    <x v="2"/>
    <n v="3"/>
    <n v="600"/>
    <n v="3"/>
    <d v="2026-01-07T00:00:00"/>
  </r>
  <r>
    <n v="1008"/>
    <s v="Keyboard"/>
    <x v="0"/>
    <x v="1"/>
    <n v="4"/>
    <n v="900"/>
    <n v="4"/>
    <d v="2026-01-08T00:00:00"/>
  </r>
  <r>
    <n v="1009"/>
    <s v="Mouse"/>
    <x v="0"/>
    <x v="0"/>
    <n v="2"/>
    <n v="180"/>
    <n v="5"/>
    <d v="2026-01-09T00:00:00"/>
  </r>
  <r>
    <n v="1010"/>
    <s v="Monitor"/>
    <x v="0"/>
    <x v="1"/>
    <n v="5"/>
    <n v="350"/>
    <n v="6"/>
    <d v="2026-01-10T00:00:00"/>
  </r>
  <r>
    <n v="1011"/>
    <s v="Printer"/>
    <x v="0"/>
    <x v="2"/>
    <n v="1"/>
    <n v="700"/>
    <n v="7"/>
    <d v="2026-01-11T00:00:00"/>
  </r>
  <r>
    <n v="1012"/>
    <s v="Webcam"/>
    <x v="0"/>
    <x v="0"/>
    <n v="3"/>
    <n v="1000"/>
    <n v="8"/>
    <d v="2026-01-12T00:00:00"/>
  </r>
  <r>
    <n v="1013"/>
    <s v="USB Flash Drive"/>
    <x v="0"/>
    <x v="3"/>
    <n v="4"/>
    <n v="220"/>
    <n v="9"/>
    <d v="2026-01-13T00:00:00"/>
  </r>
  <r>
    <n v="1014"/>
    <s v="External Hard Drive"/>
    <x v="0"/>
    <x v="3"/>
    <n v="6"/>
    <n v="480"/>
    <n v="1"/>
    <d v="2026-01-14T00:00:00"/>
  </r>
  <r>
    <n v="1015"/>
    <s v="Router"/>
    <x v="0"/>
    <x v="2"/>
    <n v="2"/>
    <n v="650"/>
    <n v="5"/>
    <d v="2026-01-15T00:00:00"/>
  </r>
  <r>
    <n v="1016"/>
    <s v="Office Chair"/>
    <x v="1"/>
    <x v="1"/>
    <n v="7"/>
    <n v="1200"/>
    <n v="5"/>
    <d v="2026-01-16T00:00:00"/>
  </r>
  <r>
    <n v="1017"/>
    <s v="Office Desk"/>
    <x v="1"/>
    <x v="0"/>
    <n v="1"/>
    <n v="160"/>
    <n v="5"/>
    <d v="2026-01-17T00:00:00"/>
  </r>
  <r>
    <n v="1018"/>
    <s v="Bookshelf"/>
    <x v="1"/>
    <x v="1"/>
    <n v="5"/>
    <n v="520"/>
    <n v="5"/>
    <d v="2026-01-18T00:00:00"/>
  </r>
  <r>
    <n v="1019"/>
    <s v="Sofa"/>
    <x v="1"/>
    <x v="2"/>
    <n v="3"/>
    <n v="750"/>
    <n v="5"/>
    <d v="2026-01-19T00:00:00"/>
  </r>
  <r>
    <n v="1020"/>
    <s v="Dining Table"/>
    <x v="1"/>
    <x v="0"/>
    <n v="2"/>
    <n v="950"/>
    <n v="5"/>
    <d v="2026-01-20T00:00:00"/>
  </r>
  <r>
    <n v="1021"/>
    <s v="Bed"/>
    <x v="1"/>
    <x v="3"/>
    <n v="8"/>
    <n v="133"/>
    <n v="5"/>
    <d v="2026-01-21T00:00:00"/>
  </r>
  <r>
    <n v="1022"/>
    <s v="Wardrobe"/>
    <x v="1"/>
    <x v="3"/>
    <n v="4"/>
    <n v="133"/>
    <n v="5"/>
    <d v="2026-01-22T00:00:00"/>
  </r>
  <r>
    <n v="1023"/>
    <s v="Coffee Table"/>
    <x v="1"/>
    <x v="2"/>
    <n v="1"/>
    <n v="133"/>
    <n v="5"/>
    <d v="2026-01-23T00:00:00"/>
  </r>
  <r>
    <n v="1024"/>
    <s v="Study Table"/>
    <x v="1"/>
    <x v="1"/>
    <n v="6"/>
    <n v="133"/>
    <n v="5"/>
    <d v="2026-01-24T00:00:00"/>
  </r>
  <r>
    <n v="1025"/>
    <s v="Cushion"/>
    <x v="1"/>
    <x v="0"/>
    <n v="3"/>
    <n v="133"/>
    <n v="5"/>
    <d v="2026-01-25T00:00:00"/>
  </r>
  <r>
    <n v="1026"/>
    <s v="T-Shirt"/>
    <x v="2"/>
    <x v="1"/>
    <n v="5"/>
    <n v="133"/>
    <n v="5"/>
    <d v="2026-01-26T00:00:00"/>
  </r>
  <r>
    <n v="1027"/>
    <s v="Jeans"/>
    <x v="2"/>
    <x v="2"/>
    <n v="2"/>
    <n v="133"/>
    <n v="5"/>
    <d v="2026-01-27T00:00:00"/>
  </r>
  <r>
    <n v="1028"/>
    <s v="Jacket"/>
    <x v="2"/>
    <x v="0"/>
    <n v="7"/>
    <n v="133"/>
    <n v="5"/>
    <d v="2026-01-28T00:00:00"/>
  </r>
  <r>
    <n v="1029"/>
    <s v="Hoodie"/>
    <x v="2"/>
    <x v="3"/>
    <n v="4"/>
    <n v="133"/>
    <n v="5"/>
    <d v="2026-01-29T00:00:00"/>
  </r>
  <r>
    <n v="1030"/>
    <s v="Shirt"/>
    <x v="2"/>
    <x v="3"/>
    <n v="1"/>
    <n v="133"/>
    <n v="5"/>
    <d v="2026-01-30T00:00:00"/>
  </r>
  <r>
    <n v="1031"/>
    <s v="Dress"/>
    <x v="2"/>
    <x v="2"/>
    <n v="9"/>
    <n v="133"/>
    <n v="5"/>
    <d v="2026-01-31T00:00:00"/>
  </r>
  <r>
    <n v="1032"/>
    <s v="Skirt"/>
    <x v="2"/>
    <x v="1"/>
    <n v="2"/>
    <n v="133"/>
    <n v="5"/>
    <d v="2026-02-01T00:00:00"/>
  </r>
  <r>
    <n v="1033"/>
    <s v="Shoes"/>
    <x v="2"/>
    <x v="0"/>
    <n v="3"/>
    <n v="133"/>
    <n v="5"/>
    <d v="2026-02-02T00:00:00"/>
  </r>
  <r>
    <n v="1034"/>
    <s v="Sneakers"/>
    <x v="2"/>
    <x v="1"/>
    <n v="6"/>
    <n v="133"/>
    <n v="5"/>
    <d v="2026-02-03T00:00:00"/>
  </r>
  <r>
    <n v="1035"/>
    <s v="Sandals"/>
    <x v="2"/>
    <x v="2"/>
    <n v="5"/>
    <n v="133"/>
    <n v="5"/>
    <d v="2026-02-04T00:00:00"/>
  </r>
  <r>
    <n v="1036"/>
    <s v="Backpack"/>
    <x v="3"/>
    <x v="0"/>
    <n v="1"/>
    <n v="133"/>
    <n v="5"/>
    <d v="2026-02-05T00:00:00"/>
  </r>
  <r>
    <n v="1037"/>
    <s v="Handbag"/>
    <x v="3"/>
    <x v="3"/>
    <n v="4"/>
    <n v="133"/>
    <n v="5"/>
    <d v="2026-02-06T00:00:00"/>
  </r>
  <r>
    <n v="1038"/>
    <s v="Wallet"/>
    <x v="3"/>
    <x v="3"/>
    <n v="2"/>
    <n v="133"/>
    <n v="5"/>
    <d v="2026-02-07T00:00:00"/>
  </r>
  <r>
    <n v="1039"/>
    <s v="Belt"/>
    <x v="3"/>
    <x v="2"/>
    <n v="7"/>
    <n v="133"/>
    <n v="5"/>
    <d v="2026-02-08T00:00:00"/>
  </r>
  <r>
    <n v="1040"/>
    <s v="Sunglasses"/>
    <x v="3"/>
    <x v="1"/>
    <n v="3"/>
    <n v="133"/>
    <n v="5"/>
    <d v="2026-02-09T00:00:00"/>
  </r>
  <r>
    <n v="1041"/>
    <s v="Watch"/>
    <x v="3"/>
    <x v="0"/>
    <n v="5"/>
    <n v="133"/>
    <n v="5"/>
    <d v="2026-02-10T00:00:00"/>
  </r>
  <r>
    <n v="1042"/>
    <s v="Cap"/>
    <x v="3"/>
    <x v="1"/>
    <n v="8"/>
    <n v="133"/>
    <n v="5"/>
    <d v="2026-02-11T00:00:00"/>
  </r>
  <r>
    <n v="1043"/>
    <s v="Scarf"/>
    <x v="3"/>
    <x v="2"/>
    <n v="1"/>
    <n v="133"/>
    <n v="5"/>
    <d v="2026-02-12T00:00:00"/>
  </r>
  <r>
    <n v="1044"/>
    <s v="Bracelet"/>
    <x v="3"/>
    <x v="0"/>
    <n v="4"/>
    <n v="133"/>
    <n v="5"/>
    <d v="2026-02-13T00:00:00"/>
  </r>
  <r>
    <n v="1045"/>
    <s v="Necklace"/>
    <x v="3"/>
    <x v="3"/>
    <n v="2"/>
    <n v="133"/>
    <n v="5"/>
    <d v="2026-02-14T00:00:00"/>
  </r>
  <r>
    <n v="1046"/>
    <s v="Rice"/>
    <x v="4"/>
    <x v="3"/>
    <n v="6"/>
    <n v="133"/>
    <n v="5"/>
    <d v="2026-02-15T00:00:00"/>
  </r>
  <r>
    <n v="1047"/>
    <s v="Wheat Flour"/>
    <x v="4"/>
    <x v="2"/>
    <n v="3"/>
    <n v="133"/>
    <n v="5"/>
    <d v="2026-02-16T00:00:00"/>
  </r>
  <r>
    <n v="1048"/>
    <s v="Sugar"/>
    <x v="4"/>
    <x v="1"/>
    <n v="5"/>
    <n v="133"/>
    <n v="5"/>
    <d v="2026-02-17T00:00:00"/>
  </r>
  <r>
    <n v="1049"/>
    <s v="Salt"/>
    <x v="4"/>
    <x v="0"/>
    <n v="1"/>
    <n v="133"/>
    <n v="5"/>
    <d v="2026-02-18T00:00:00"/>
  </r>
  <r>
    <n v="1050"/>
    <s v="Cooking Oil"/>
    <x v="4"/>
    <x v="1"/>
    <n v="7"/>
    <n v="133"/>
    <n v="5"/>
    <d v="2026-02-19T00:00:00"/>
  </r>
  <r>
    <n v="1051"/>
    <s v="Tea"/>
    <x v="4"/>
    <x v="2"/>
    <n v="2"/>
    <n v="133"/>
    <n v="5"/>
    <d v="2026-02-20T00:00:00"/>
  </r>
  <r>
    <n v="1052"/>
    <s v="Coffee"/>
    <x v="4"/>
    <x v="0"/>
    <n v="4"/>
    <n v="133"/>
    <n v="5"/>
    <d v="2026-02-21T00:00:00"/>
  </r>
  <r>
    <n v="1053"/>
    <s v="Milk"/>
    <x v="4"/>
    <x v="3"/>
    <n v="8"/>
    <n v="133"/>
    <n v="5"/>
    <d v="2026-02-22T00:00:00"/>
  </r>
  <r>
    <n v="1054"/>
    <s v="Bread"/>
    <x v="4"/>
    <x v="3"/>
    <n v="3"/>
    <n v="133"/>
    <n v="5"/>
    <d v="2026-02-23T00:00:00"/>
  </r>
  <r>
    <n v="1055"/>
    <s v="Eggs"/>
    <x v="4"/>
    <x v="2"/>
    <n v="5"/>
    <n v="133"/>
    <n v="5"/>
    <d v="2026-02-24T00:00:00"/>
  </r>
  <r>
    <n v="1056"/>
    <s v="Chicken"/>
    <x v="4"/>
    <x v="1"/>
    <n v="2"/>
    <n v="133"/>
    <n v="5"/>
    <d v="2026-02-25T00:00:00"/>
  </r>
  <r>
    <n v="1057"/>
    <s v="Beef"/>
    <x v="4"/>
    <x v="0"/>
    <n v="6"/>
    <n v="133"/>
    <n v="5"/>
    <d v="2026-02-26T00:00:00"/>
  </r>
  <r>
    <n v="1058"/>
    <s v="Apple"/>
    <x v="4"/>
    <x v="1"/>
    <n v="1"/>
    <n v="133"/>
    <n v="5"/>
    <d v="2026-02-27T00:00:00"/>
  </r>
  <r>
    <n v="1059"/>
    <s v="Banana"/>
    <x v="4"/>
    <x v="2"/>
    <n v="2"/>
    <n v="133"/>
    <n v="5"/>
    <d v="2026-02-28T00:00:00"/>
  </r>
  <r>
    <n v="1060"/>
    <s v="Orange"/>
    <x v="4"/>
    <x v="0"/>
    <n v="5"/>
    <n v="133"/>
    <n v="5"/>
    <d v="2026-03-01T00:00:00"/>
  </r>
  <r>
    <n v="1061"/>
    <s v="Shampoo"/>
    <x v="5"/>
    <x v="3"/>
    <n v="1"/>
    <n v="133"/>
    <n v="5"/>
    <d v="2026-03-02T00:00:00"/>
  </r>
  <r>
    <n v="1062"/>
    <s v="Soap"/>
    <x v="5"/>
    <x v="3"/>
    <n v="3"/>
    <n v="133"/>
    <n v="5"/>
    <d v="2026-03-03T00:00:00"/>
  </r>
  <r>
    <n v="1063"/>
    <s v="Toothpaste"/>
    <x v="5"/>
    <x v="2"/>
    <n v="4"/>
    <n v="133"/>
    <n v="5"/>
    <d v="2026-03-04T00:00:00"/>
  </r>
  <r>
    <n v="1064"/>
    <s v="Toothbrush"/>
    <x v="5"/>
    <x v="1"/>
    <n v="6"/>
    <n v="133"/>
    <n v="5"/>
    <d v="2026-03-05T00:00:00"/>
  </r>
  <r>
    <n v="1065"/>
    <s v="Face Wash"/>
    <x v="5"/>
    <x v="0"/>
    <n v="2"/>
    <n v="133"/>
    <n v="5"/>
    <d v="2026-03-06T00:00:00"/>
  </r>
  <r>
    <n v="1066"/>
    <s v="Lotion"/>
    <x v="5"/>
    <x v="1"/>
    <n v="7"/>
    <n v="133"/>
    <n v="5"/>
    <d v="2026-03-07T00:00:00"/>
  </r>
  <r>
    <n v="1067"/>
    <s v="Perfume"/>
    <x v="5"/>
    <x v="2"/>
    <n v="1"/>
    <n v="133"/>
    <n v="5"/>
    <d v="2026-03-08T00:00:00"/>
  </r>
  <r>
    <n v="1068"/>
    <s v="Hair Oil"/>
    <x v="5"/>
    <x v="0"/>
    <n v="5"/>
    <n v="133"/>
    <n v="5"/>
    <d v="2026-03-09T00:00:00"/>
  </r>
  <r>
    <n v="1069"/>
    <s v="Deodorant"/>
    <x v="5"/>
    <x v="3"/>
    <n v="3"/>
    <n v="133"/>
    <n v="5"/>
    <d v="2026-03-10T00:00:00"/>
  </r>
  <r>
    <n v="1070"/>
    <s v="Sunscreen"/>
    <x v="5"/>
    <x v="3"/>
    <n v="2"/>
    <n v="133"/>
    <n v="5"/>
    <d v="2026-03-11T00:00:00"/>
  </r>
  <r>
    <n v="1071"/>
    <s v="Football"/>
    <x v="6"/>
    <x v="2"/>
    <n v="8"/>
    <n v="133"/>
    <n v="5"/>
    <d v="2026-03-12T00:00:00"/>
  </r>
  <r>
    <n v="1072"/>
    <s v="Cricket Bat"/>
    <x v="6"/>
    <x v="1"/>
    <n v="4"/>
    <n v="133"/>
    <n v="5"/>
    <d v="2026-03-13T00:00:00"/>
  </r>
  <r>
    <n v="1073"/>
    <s v="Cricket Ball"/>
    <x v="6"/>
    <x v="0"/>
    <n v="1"/>
    <n v="133"/>
    <n v="5"/>
    <d v="2026-03-14T00:00:00"/>
  </r>
  <r>
    <n v="1074"/>
    <s v="Tennis Racket"/>
    <x v="6"/>
    <x v="1"/>
    <n v="6"/>
    <n v="133"/>
    <n v="5"/>
    <d v="2026-03-15T00:00:00"/>
  </r>
  <r>
    <n v="1075"/>
    <s v="Basketball"/>
    <x v="6"/>
    <x v="2"/>
    <n v="3"/>
    <n v="133"/>
    <n v="5"/>
    <d v="2026-03-16T00:00:00"/>
  </r>
  <r>
    <n v="1076"/>
    <s v="Volleyball"/>
    <x v="6"/>
    <x v="0"/>
    <n v="5"/>
    <n v="133"/>
    <n v="5"/>
    <d v="2026-03-17T00:00:00"/>
  </r>
  <r>
    <n v="1077"/>
    <s v="Yoga Mat"/>
    <x v="6"/>
    <x v="3"/>
    <n v="2"/>
    <n v="133"/>
    <n v="5"/>
    <d v="2026-03-18T00:00:00"/>
  </r>
  <r>
    <n v="1078"/>
    <s v="Dumbbells"/>
    <x v="6"/>
    <x v="3"/>
    <n v="7"/>
    <n v="133"/>
    <n v="5"/>
    <d v="2026-03-19T00:00:00"/>
  </r>
  <r>
    <n v="1079"/>
    <s v="Skipping Rope"/>
    <x v="6"/>
    <x v="2"/>
    <n v="4"/>
    <n v="133"/>
    <n v="5"/>
    <d v="2026-03-20T00:00:00"/>
  </r>
  <r>
    <n v="1080"/>
    <s v="Water Bottle"/>
    <x v="6"/>
    <x v="1"/>
    <n v="1"/>
    <n v="133"/>
    <n v="5"/>
    <d v="2026-03-21T00:00:00"/>
  </r>
  <r>
    <n v="1081"/>
    <s v="Notebook"/>
    <x v="7"/>
    <x v="0"/>
    <n v="9"/>
    <n v="133"/>
    <n v="5"/>
    <d v="2026-03-22T00:00:00"/>
  </r>
  <r>
    <n v="1082"/>
    <s v="Pen"/>
    <x v="7"/>
    <x v="1"/>
    <n v="2"/>
    <n v="133"/>
    <n v="5"/>
    <d v="2026-03-23T00:00:00"/>
  </r>
  <r>
    <n v="1083"/>
    <s v="Pencil"/>
    <x v="7"/>
    <x v="2"/>
    <n v="3"/>
    <n v="133"/>
    <n v="5"/>
    <d v="2026-03-24T00:00:00"/>
  </r>
  <r>
    <n v="1084"/>
    <s v="Eraser"/>
    <x v="7"/>
    <x v="0"/>
    <n v="6"/>
    <n v="133"/>
    <n v="5"/>
    <d v="2026-03-25T00:00:00"/>
  </r>
  <r>
    <n v="1085"/>
    <s v="Marker"/>
    <x v="7"/>
    <x v="3"/>
    <n v="5"/>
    <n v="133"/>
    <n v="5"/>
    <d v="2026-03-26T00:00:00"/>
  </r>
  <r>
    <n v="1086"/>
    <s v="Highlighter"/>
    <x v="7"/>
    <x v="3"/>
    <n v="1"/>
    <n v="133"/>
    <n v="5"/>
    <d v="2026-03-27T00:00:00"/>
  </r>
  <r>
    <n v="1087"/>
    <s v="Stapler"/>
    <x v="7"/>
    <x v="2"/>
    <n v="4"/>
    <n v="133"/>
    <n v="5"/>
    <d v="2026-03-28T00:00:00"/>
  </r>
  <r>
    <n v="1088"/>
    <s v="Calculator"/>
    <x v="7"/>
    <x v="1"/>
    <n v="2"/>
    <n v="133"/>
    <n v="5"/>
    <d v="2026-03-29T00:00:00"/>
  </r>
  <r>
    <n v="1089"/>
    <s v="File Folder"/>
    <x v="7"/>
    <x v="0"/>
    <n v="7"/>
    <n v="133"/>
    <n v="5"/>
    <d v="2026-03-30T00:00:00"/>
  </r>
  <r>
    <n v="1090"/>
    <s v="Diary"/>
    <x v="7"/>
    <x v="1"/>
    <n v="3"/>
    <n v="133"/>
    <n v="5"/>
    <d v="2026-03-31T00:00:00"/>
  </r>
  <r>
    <n v="1091"/>
    <s v="Diary"/>
    <x v="7"/>
    <x v="1"/>
    <n v="5"/>
    <n v="133"/>
    <n v="5"/>
    <d v="2026-04-01T00:00:00"/>
  </r>
  <r>
    <n v="1092"/>
    <s v="Diary"/>
    <x v="7"/>
    <x v="2"/>
    <n v="8"/>
    <n v="133"/>
    <n v="5"/>
    <d v="2026-04-02T00:00:00"/>
  </r>
  <r>
    <n v="1093"/>
    <s v="Diary"/>
    <x v="7"/>
    <x v="0"/>
    <n v="1"/>
    <n v="133"/>
    <n v="5"/>
    <d v="2026-04-03T00:00:00"/>
  </r>
  <r>
    <n v="1094"/>
    <s v="Diary"/>
    <x v="7"/>
    <x v="3"/>
    <n v="4"/>
    <n v="133"/>
    <n v="5"/>
    <d v="2026-04-04T00:00:00"/>
  </r>
  <r>
    <n v="1095"/>
    <s v="Diary"/>
    <x v="7"/>
    <x v="3"/>
    <n v="2"/>
    <n v="133"/>
    <n v="5"/>
    <d v="2026-04-05T00:00:00"/>
  </r>
  <r>
    <n v="1096"/>
    <s v="Diary"/>
    <x v="7"/>
    <x v="2"/>
    <n v="6"/>
    <n v="133"/>
    <n v="5"/>
    <d v="2026-04-06T00:00:00"/>
  </r>
  <r>
    <n v="1097"/>
    <s v="Diary"/>
    <x v="7"/>
    <x v="1"/>
    <n v="3"/>
    <n v="133"/>
    <n v="5"/>
    <d v="2026-04-07T00:00:00"/>
  </r>
  <r>
    <n v="1098"/>
    <s v="Diary"/>
    <x v="7"/>
    <x v="0"/>
    <n v="5"/>
    <n v="133"/>
    <n v="5"/>
    <d v="2026-04-08T00:00:00"/>
  </r>
  <r>
    <n v="1099"/>
    <s v="Diary"/>
    <x v="7"/>
    <x v="1"/>
    <n v="1"/>
    <n v="133"/>
    <n v="5"/>
    <d v="2026-04-09T00:00:00"/>
  </r>
  <r>
    <n v="1100"/>
    <s v="Diary"/>
    <x v="7"/>
    <x v="1"/>
    <n v="7"/>
    <n v="133"/>
    <n v="5"/>
    <d v="2026-04-10T00:00:00"/>
  </r>
  <r>
    <n v="1101"/>
    <s v="Diary"/>
    <x v="7"/>
    <x v="2"/>
    <n v="2"/>
    <n v="133"/>
    <n v="5"/>
    <d v="2026-04-11T00:00:00"/>
  </r>
  <r>
    <n v="1102"/>
    <s v="Diary"/>
    <x v="7"/>
    <x v="0"/>
    <n v="4"/>
    <n v="133"/>
    <n v="5"/>
    <d v="2026-04-12T00:00:00"/>
  </r>
  <r>
    <n v="1103"/>
    <s v="Diary"/>
    <x v="7"/>
    <x v="3"/>
    <n v="8"/>
    <n v="133"/>
    <n v="5"/>
    <d v="2026-04-13T00:00:00"/>
  </r>
  <r>
    <n v="1104"/>
    <s v="Diary"/>
    <x v="7"/>
    <x v="3"/>
    <n v="3"/>
    <n v="133"/>
    <n v="5"/>
    <d v="2026-04-14T00:00:00"/>
  </r>
  <r>
    <n v="1105"/>
    <s v="Diary"/>
    <x v="7"/>
    <x v="2"/>
    <n v="5"/>
    <n v="133"/>
    <n v="5"/>
    <d v="2026-04-15T00:00:00"/>
  </r>
  <r>
    <n v="1106"/>
    <s v="Diary"/>
    <x v="7"/>
    <x v="1"/>
    <n v="2"/>
    <n v="133"/>
    <n v="5"/>
    <d v="2026-04-16T00:00:00"/>
  </r>
  <r>
    <n v="1107"/>
    <s v="Diary"/>
    <x v="7"/>
    <x v="0"/>
    <n v="6"/>
    <n v="133"/>
    <n v="5"/>
    <d v="2026-04-17T00:00:00"/>
  </r>
  <r>
    <n v="1108"/>
    <s v="Diary"/>
    <x v="7"/>
    <x v="1"/>
    <n v="1"/>
    <n v="133"/>
    <n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D12" firstHeaderRow="0" firstDataRow="1" firstDataCol="1"/>
  <pivotFields count="8">
    <pivotField showAll="0"/>
    <pivotField showAll="0"/>
    <pivotField axis="axisRow" showAll="0">
      <items count="10">
        <item x="3"/>
        <item x="2"/>
        <item x="0"/>
        <item x="1"/>
        <item x="4"/>
        <item x="5"/>
        <item x="6"/>
        <item x="7"/>
        <item m="1" x="8"/>
        <item t="default"/>
      </items>
    </pivotField>
    <pivotField showAll="0">
      <items count="5">
        <item x="2"/>
        <item x="0"/>
        <item x="1"/>
        <item x="3"/>
        <item t="default"/>
      </items>
    </pivotField>
    <pivotField dataField="1" showAll="0"/>
    <pivotField dataField="1" showAll="0"/>
    <pivotField dataField="1" showAll="0"/>
    <pivotField showAll="0"/>
  </pivotFields>
  <rowFields count="1">
    <field x="2"/>
  </rowFields>
  <rowItems count="9">
    <i>
      <x/>
    </i>
    <i>
      <x v="1"/>
    </i>
    <i>
      <x v="2"/>
    </i>
    <i>
      <x v="3"/>
    </i>
    <i>
      <x v="4"/>
    </i>
    <i>
      <x v="5"/>
    </i>
    <i>
      <x v="6"/>
    </i>
    <i>
      <x v="7"/>
    </i>
    <i t="grand">
      <x/>
    </i>
  </rowItems>
  <colFields count="1">
    <field x="-2"/>
  </colFields>
  <colItems count="3">
    <i>
      <x/>
    </i>
    <i i="1">
      <x v="1"/>
    </i>
    <i i="2">
      <x v="2"/>
    </i>
  </colItems>
  <dataFields count="3">
    <dataField name="Sum of Sales" fld="5" baseField="2" baseItem="0"/>
    <dataField name="Sum of Profit" fld="6" baseField="2" baseItem="0"/>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3"/>
  </pivotTables>
  <data>
    <tabular pivotCacheId="1">
      <items count="9">
        <i x="3" s="1"/>
        <i x="2" s="1"/>
        <i x="0" s="1"/>
        <i x="1" s="1"/>
        <i x="4" s="1"/>
        <i x="5" s="1"/>
        <i x="6" s="1"/>
        <i x="7" s="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igion" sourceName="Reigion">
  <pivotTables>
    <pivotTable tabId="6" name="PivotTable3"/>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igion" cache="Slicer_Reigion" caption="Rei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2"/>
  <sheetViews>
    <sheetView tabSelected="1" workbookViewId="0">
      <selection activeCell="K8" sqref="K8"/>
    </sheetView>
  </sheetViews>
  <sheetFormatPr defaultRowHeight="15" x14ac:dyDescent="0.25"/>
  <cols>
    <col min="1" max="1" width="13.28515625" customWidth="1"/>
    <col min="2" max="2" width="12.140625" customWidth="1"/>
    <col min="3" max="3" width="12.5703125" customWidth="1"/>
    <col min="4" max="4" width="15.42578125" bestFit="1" customWidth="1"/>
    <col min="7" max="7" width="16.5703125" bestFit="1" customWidth="1"/>
    <col min="8" max="8" width="17.140625" bestFit="1" customWidth="1"/>
    <col min="9" max="9" width="22.140625" bestFit="1" customWidth="1"/>
  </cols>
  <sheetData>
    <row r="2" spans="1:9" ht="15.75" thickBot="1" x14ac:dyDescent="0.3"/>
    <row r="3" spans="1:9" ht="24.75" thickTop="1" thickBot="1" x14ac:dyDescent="0.4">
      <c r="A3" s="16" t="s">
        <v>111</v>
      </c>
      <c r="B3" t="s">
        <v>114</v>
      </c>
      <c r="C3" t="s">
        <v>118</v>
      </c>
      <c r="D3" t="s">
        <v>113</v>
      </c>
      <c r="G3" s="19" t="s">
        <v>115</v>
      </c>
      <c r="H3" s="19" t="s">
        <v>116</v>
      </c>
      <c r="I3" s="19" t="s">
        <v>117</v>
      </c>
    </row>
    <row r="4" spans="1:9" ht="24.75" thickTop="1" thickBot="1" x14ac:dyDescent="0.4">
      <c r="A4" s="17" t="s">
        <v>48</v>
      </c>
      <c r="B4" s="18">
        <v>1330</v>
      </c>
      <c r="C4" s="18">
        <v>50</v>
      </c>
      <c r="D4" s="18">
        <v>37</v>
      </c>
      <c r="G4" s="19">
        <f>GETPIVOTDATA("Sum of sales",A3)</f>
        <v>22434</v>
      </c>
      <c r="H4" s="19">
        <f>GETPIVOTDATA("Sum of profit",A3)</f>
        <v>543</v>
      </c>
      <c r="I4" s="19">
        <f>GETPIVOTDATA("sum of Quantity",A3)</f>
        <v>423</v>
      </c>
    </row>
    <row r="5" spans="1:9" ht="15.75" thickTop="1" x14ac:dyDescent="0.25">
      <c r="A5" s="17" t="s">
        <v>37</v>
      </c>
      <c r="B5" s="18">
        <v>1330</v>
      </c>
      <c r="C5" s="18">
        <v>50</v>
      </c>
      <c r="D5" s="18">
        <v>44</v>
      </c>
    </row>
    <row r="6" spans="1:9" x14ac:dyDescent="0.25">
      <c r="A6" s="17" t="s">
        <v>10</v>
      </c>
      <c r="B6" s="18">
        <v>7150</v>
      </c>
      <c r="C6" s="18">
        <v>78</v>
      </c>
      <c r="D6" s="18">
        <v>52</v>
      </c>
    </row>
    <row r="7" spans="1:9" x14ac:dyDescent="0.25">
      <c r="A7" s="17" t="s">
        <v>26</v>
      </c>
      <c r="B7" s="18">
        <v>4245</v>
      </c>
      <c r="C7" s="18">
        <v>50</v>
      </c>
      <c r="D7" s="18">
        <v>40</v>
      </c>
    </row>
    <row r="8" spans="1:9" x14ac:dyDescent="0.25">
      <c r="A8" s="17" t="s">
        <v>59</v>
      </c>
      <c r="B8" s="18">
        <v>1995</v>
      </c>
      <c r="C8" s="18">
        <v>75</v>
      </c>
      <c r="D8" s="18">
        <v>60</v>
      </c>
    </row>
    <row r="9" spans="1:9" x14ac:dyDescent="0.25">
      <c r="A9" s="17" t="s">
        <v>75</v>
      </c>
      <c r="B9" s="18">
        <v>1330</v>
      </c>
      <c r="C9" s="18">
        <v>50</v>
      </c>
      <c r="D9" s="18">
        <v>34</v>
      </c>
    </row>
    <row r="10" spans="1:9" x14ac:dyDescent="0.25">
      <c r="A10" s="17" t="s">
        <v>86</v>
      </c>
      <c r="B10" s="18">
        <v>1330</v>
      </c>
      <c r="C10" s="18">
        <v>50</v>
      </c>
      <c r="D10" s="18">
        <v>41</v>
      </c>
    </row>
    <row r="11" spans="1:9" x14ac:dyDescent="0.25">
      <c r="A11" s="17" t="s">
        <v>97</v>
      </c>
      <c r="B11" s="18">
        <v>3724</v>
      </c>
      <c r="C11" s="18">
        <v>140</v>
      </c>
      <c r="D11" s="18">
        <v>115</v>
      </c>
    </row>
    <row r="12" spans="1:9" x14ac:dyDescent="0.25">
      <c r="A12" s="17" t="s">
        <v>112</v>
      </c>
      <c r="B12" s="18">
        <v>22434</v>
      </c>
      <c r="C12" s="18">
        <v>543</v>
      </c>
      <c r="D12" s="18">
        <v>423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14"/>
  <sheetViews>
    <sheetView workbookViewId="0">
      <selection activeCell="A6" sqref="A6"/>
    </sheetView>
  </sheetViews>
  <sheetFormatPr defaultColWidth="17.7109375" defaultRowHeight="23.1" customHeight="1" x14ac:dyDescent="0.25"/>
  <cols>
    <col min="1" max="1" width="17.7109375" style="1"/>
    <col min="2" max="2" width="17.7109375" style="2"/>
    <col min="3" max="3" width="17.7109375" style="1"/>
    <col min="4" max="5" width="17.7109375" style="3"/>
    <col min="6" max="6" width="17.7109375" style="8"/>
    <col min="7" max="7" width="17.7109375" style="10"/>
    <col min="8" max="8" width="28.28515625" style="15" bestFit="1" customWidth="1"/>
    <col min="9" max="16384" width="17.7109375" style="3"/>
  </cols>
  <sheetData>
    <row r="2" spans="1:14" ht="23.1" customHeight="1" x14ac:dyDescent="0.25">
      <c r="C2" s="20" t="s">
        <v>0</v>
      </c>
      <c r="D2" s="21"/>
      <c r="E2" s="21"/>
      <c r="F2" s="22"/>
      <c r="G2" s="9"/>
      <c r="H2" s="13"/>
      <c r="I2" s="1"/>
    </row>
    <row r="3" spans="1:14" ht="23.1" customHeight="1" x14ac:dyDescent="0.25">
      <c r="C3" s="23"/>
      <c r="D3" s="24"/>
      <c r="E3" s="24"/>
      <c r="F3" s="25"/>
      <c r="G3" s="9"/>
      <c r="H3" s="13"/>
      <c r="I3" s="1"/>
    </row>
    <row r="4" spans="1:14" ht="23.1" customHeight="1" x14ac:dyDescent="0.25">
      <c r="C4" s="26"/>
      <c r="D4" s="27"/>
      <c r="E4" s="27"/>
      <c r="F4" s="28"/>
      <c r="G4" s="9"/>
      <c r="H4" s="13"/>
      <c r="I4" s="1"/>
    </row>
    <row r="6" spans="1:14" s="4" customFormat="1" ht="23.1" customHeight="1" x14ac:dyDescent="0.25">
      <c r="A6" s="4" t="s">
        <v>1</v>
      </c>
      <c r="B6" s="5" t="s">
        <v>8</v>
      </c>
      <c r="C6" s="5" t="s">
        <v>3</v>
      </c>
      <c r="D6" s="4" t="s">
        <v>2</v>
      </c>
      <c r="E6" s="4" t="s">
        <v>4</v>
      </c>
      <c r="F6" s="11" t="s">
        <v>5</v>
      </c>
      <c r="G6" s="12" t="s">
        <v>6</v>
      </c>
      <c r="H6" s="14" t="s">
        <v>7</v>
      </c>
      <c r="I6" s="29"/>
      <c r="J6" s="29"/>
      <c r="K6" s="29"/>
      <c r="L6" s="29"/>
      <c r="M6" s="29"/>
      <c r="N6" s="29"/>
    </row>
    <row r="7" spans="1:14" ht="23.1" customHeight="1" x14ac:dyDescent="0.25">
      <c r="A7" s="1">
        <v>1001</v>
      </c>
      <c r="B7" s="6" t="s">
        <v>9</v>
      </c>
      <c r="C7" s="7" t="s">
        <v>10</v>
      </c>
      <c r="D7" s="3" t="s">
        <v>107</v>
      </c>
      <c r="E7" s="3">
        <v>2</v>
      </c>
      <c r="F7" s="8">
        <v>120</v>
      </c>
      <c r="G7" s="10">
        <v>8</v>
      </c>
      <c r="H7" s="15">
        <v>46023</v>
      </c>
    </row>
    <row r="8" spans="1:14" ht="23.1" customHeight="1" x14ac:dyDescent="0.25">
      <c r="A8" s="1">
        <v>1002</v>
      </c>
      <c r="B8" s="6" t="s">
        <v>11</v>
      </c>
      <c r="C8" s="7" t="s">
        <v>10</v>
      </c>
      <c r="D8" s="3" t="s">
        <v>108</v>
      </c>
      <c r="E8" s="3">
        <v>5</v>
      </c>
      <c r="F8" s="8">
        <v>250</v>
      </c>
      <c r="G8" s="10">
        <v>9</v>
      </c>
      <c r="H8" s="15">
        <v>46024</v>
      </c>
    </row>
    <row r="9" spans="1:14" ht="23.1" customHeight="1" x14ac:dyDescent="0.25">
      <c r="A9" s="1">
        <v>1003</v>
      </c>
      <c r="B9" s="6" t="s">
        <v>12</v>
      </c>
      <c r="C9" s="7" t="s">
        <v>10</v>
      </c>
      <c r="D9" s="3" t="s">
        <v>109</v>
      </c>
      <c r="E9" s="3">
        <v>3</v>
      </c>
      <c r="F9" s="8">
        <v>450</v>
      </c>
      <c r="G9" s="10">
        <v>6</v>
      </c>
      <c r="H9" s="15">
        <v>46025</v>
      </c>
    </row>
    <row r="10" spans="1:14" ht="23.1" customHeight="1" x14ac:dyDescent="0.25">
      <c r="A10" s="1">
        <v>1004</v>
      </c>
      <c r="B10" s="6" t="s">
        <v>13</v>
      </c>
      <c r="C10" s="7" t="s">
        <v>10</v>
      </c>
      <c r="D10" s="3" t="s">
        <v>107</v>
      </c>
      <c r="E10" s="3">
        <v>4</v>
      </c>
      <c r="F10" s="8">
        <v>800</v>
      </c>
      <c r="G10" s="10">
        <v>4</v>
      </c>
      <c r="H10" s="15">
        <v>46026</v>
      </c>
    </row>
    <row r="11" spans="1:14" ht="23.1" customHeight="1" x14ac:dyDescent="0.25">
      <c r="A11" s="1">
        <v>1005</v>
      </c>
      <c r="B11" s="6" t="s">
        <v>14</v>
      </c>
      <c r="C11" s="7" t="s">
        <v>10</v>
      </c>
      <c r="D11" s="3" t="s">
        <v>110</v>
      </c>
      <c r="E11" s="3">
        <v>1</v>
      </c>
      <c r="F11" s="8">
        <v>150</v>
      </c>
      <c r="G11" s="10">
        <v>1</v>
      </c>
      <c r="H11" s="15">
        <v>46027</v>
      </c>
    </row>
    <row r="12" spans="1:14" ht="23.1" customHeight="1" x14ac:dyDescent="0.25">
      <c r="A12" s="1">
        <v>1006</v>
      </c>
      <c r="B12" s="6" t="s">
        <v>15</v>
      </c>
      <c r="C12" s="7" t="s">
        <v>10</v>
      </c>
      <c r="D12" s="3" t="s">
        <v>110</v>
      </c>
      <c r="E12" s="3">
        <v>7</v>
      </c>
      <c r="F12" s="8">
        <v>300</v>
      </c>
      <c r="G12" s="10">
        <v>2</v>
      </c>
      <c r="H12" s="15">
        <v>46028</v>
      </c>
    </row>
    <row r="13" spans="1:14" ht="23.1" customHeight="1" x14ac:dyDescent="0.25">
      <c r="A13" s="1">
        <v>1007</v>
      </c>
      <c r="B13" s="6" t="s">
        <v>16</v>
      </c>
      <c r="C13" s="7" t="s">
        <v>10</v>
      </c>
      <c r="D13" s="3" t="s">
        <v>109</v>
      </c>
      <c r="E13" s="3">
        <v>3</v>
      </c>
      <c r="F13" s="8">
        <v>600</v>
      </c>
      <c r="G13" s="10">
        <v>3</v>
      </c>
      <c r="H13" s="15">
        <v>46029</v>
      </c>
    </row>
    <row r="14" spans="1:14" ht="23.1" customHeight="1" x14ac:dyDescent="0.25">
      <c r="A14" s="1">
        <v>1008</v>
      </c>
      <c r="B14" s="6" t="s">
        <v>17</v>
      </c>
      <c r="C14" s="7" t="s">
        <v>10</v>
      </c>
      <c r="D14" s="3" t="s">
        <v>108</v>
      </c>
      <c r="E14" s="3">
        <v>4</v>
      </c>
      <c r="F14" s="8">
        <v>900</v>
      </c>
      <c r="G14" s="10">
        <v>4</v>
      </c>
      <c r="H14" s="15">
        <v>46030</v>
      </c>
    </row>
    <row r="15" spans="1:14" ht="23.1" customHeight="1" x14ac:dyDescent="0.25">
      <c r="A15" s="1">
        <v>1009</v>
      </c>
      <c r="B15" s="6" t="s">
        <v>18</v>
      </c>
      <c r="C15" s="7" t="s">
        <v>10</v>
      </c>
      <c r="D15" s="3" t="s">
        <v>107</v>
      </c>
      <c r="E15" s="3">
        <v>2</v>
      </c>
      <c r="F15" s="8">
        <v>180</v>
      </c>
      <c r="G15" s="10">
        <v>5</v>
      </c>
      <c r="H15" s="15">
        <v>46031</v>
      </c>
    </row>
    <row r="16" spans="1:14" ht="23.1" customHeight="1" x14ac:dyDescent="0.25">
      <c r="A16" s="1">
        <v>1010</v>
      </c>
      <c r="B16" s="6" t="s">
        <v>19</v>
      </c>
      <c r="C16" s="7" t="s">
        <v>10</v>
      </c>
      <c r="D16" s="3" t="s">
        <v>108</v>
      </c>
      <c r="E16" s="3">
        <v>5</v>
      </c>
      <c r="F16" s="8">
        <v>350</v>
      </c>
      <c r="G16" s="10">
        <v>6</v>
      </c>
      <c r="H16" s="15">
        <v>46032</v>
      </c>
    </row>
    <row r="17" spans="1:8" ht="23.1" customHeight="1" x14ac:dyDescent="0.25">
      <c r="A17" s="1">
        <v>1011</v>
      </c>
      <c r="B17" s="6" t="s">
        <v>20</v>
      </c>
      <c r="C17" s="7" t="s">
        <v>10</v>
      </c>
      <c r="D17" s="3" t="s">
        <v>109</v>
      </c>
      <c r="E17" s="3">
        <v>1</v>
      </c>
      <c r="F17" s="8">
        <v>700</v>
      </c>
      <c r="G17" s="10">
        <v>7</v>
      </c>
      <c r="H17" s="15">
        <v>46033</v>
      </c>
    </row>
    <row r="18" spans="1:8" ht="23.1" customHeight="1" x14ac:dyDescent="0.25">
      <c r="A18" s="1">
        <v>1012</v>
      </c>
      <c r="B18" s="6" t="s">
        <v>21</v>
      </c>
      <c r="C18" s="7" t="s">
        <v>10</v>
      </c>
      <c r="D18" s="3" t="s">
        <v>107</v>
      </c>
      <c r="E18" s="3">
        <v>3</v>
      </c>
      <c r="F18" s="8">
        <v>1000</v>
      </c>
      <c r="G18" s="10">
        <v>8</v>
      </c>
      <c r="H18" s="15">
        <v>46034</v>
      </c>
    </row>
    <row r="19" spans="1:8" ht="23.1" customHeight="1" x14ac:dyDescent="0.25">
      <c r="A19" s="1">
        <v>1013</v>
      </c>
      <c r="B19" s="6" t="s">
        <v>22</v>
      </c>
      <c r="C19" s="7" t="s">
        <v>10</v>
      </c>
      <c r="D19" s="3" t="s">
        <v>110</v>
      </c>
      <c r="E19" s="3">
        <v>4</v>
      </c>
      <c r="F19" s="8">
        <v>220</v>
      </c>
      <c r="G19" s="10">
        <v>9</v>
      </c>
      <c r="H19" s="15">
        <v>46035</v>
      </c>
    </row>
    <row r="20" spans="1:8" ht="23.1" customHeight="1" x14ac:dyDescent="0.25">
      <c r="A20" s="1">
        <v>1014</v>
      </c>
      <c r="B20" s="6" t="s">
        <v>23</v>
      </c>
      <c r="C20" s="7" t="s">
        <v>10</v>
      </c>
      <c r="D20" s="3" t="s">
        <v>110</v>
      </c>
      <c r="E20" s="3">
        <v>6</v>
      </c>
      <c r="F20" s="8">
        <v>480</v>
      </c>
      <c r="G20" s="10">
        <v>1</v>
      </c>
      <c r="H20" s="15">
        <v>46036</v>
      </c>
    </row>
    <row r="21" spans="1:8" ht="23.1" customHeight="1" x14ac:dyDescent="0.25">
      <c r="A21" s="1">
        <v>1015</v>
      </c>
      <c r="B21" s="6" t="s">
        <v>24</v>
      </c>
      <c r="C21" s="7" t="s">
        <v>10</v>
      </c>
      <c r="D21" s="3" t="s">
        <v>109</v>
      </c>
      <c r="E21" s="3">
        <v>2</v>
      </c>
      <c r="F21" s="8">
        <v>650</v>
      </c>
      <c r="G21" s="10">
        <v>5</v>
      </c>
      <c r="H21" s="15">
        <v>46037</v>
      </c>
    </row>
    <row r="22" spans="1:8" ht="23.1" customHeight="1" x14ac:dyDescent="0.25">
      <c r="A22" s="1">
        <v>1016</v>
      </c>
      <c r="B22" s="6" t="s">
        <v>25</v>
      </c>
      <c r="C22" s="7" t="s">
        <v>26</v>
      </c>
      <c r="D22" s="3" t="s">
        <v>108</v>
      </c>
      <c r="E22" s="3">
        <v>7</v>
      </c>
      <c r="F22" s="8">
        <v>1200</v>
      </c>
      <c r="G22" s="10">
        <v>5</v>
      </c>
      <c r="H22" s="15">
        <v>46038</v>
      </c>
    </row>
    <row r="23" spans="1:8" ht="23.1" customHeight="1" x14ac:dyDescent="0.25">
      <c r="A23" s="1">
        <v>1017</v>
      </c>
      <c r="B23" s="6" t="s">
        <v>27</v>
      </c>
      <c r="C23" s="7" t="s">
        <v>26</v>
      </c>
      <c r="D23" s="3" t="s">
        <v>107</v>
      </c>
      <c r="E23" s="3">
        <v>1</v>
      </c>
      <c r="F23" s="8">
        <v>160</v>
      </c>
      <c r="G23" s="10">
        <v>5</v>
      </c>
      <c r="H23" s="15">
        <v>46039</v>
      </c>
    </row>
    <row r="24" spans="1:8" ht="23.1" customHeight="1" x14ac:dyDescent="0.25">
      <c r="A24" s="1">
        <v>1018</v>
      </c>
      <c r="B24" s="6" t="s">
        <v>28</v>
      </c>
      <c r="C24" s="7" t="s">
        <v>26</v>
      </c>
      <c r="D24" s="3" t="s">
        <v>108</v>
      </c>
      <c r="E24" s="3">
        <v>5</v>
      </c>
      <c r="F24" s="8">
        <v>520</v>
      </c>
      <c r="G24" s="10">
        <v>5</v>
      </c>
      <c r="H24" s="15">
        <v>46040</v>
      </c>
    </row>
    <row r="25" spans="1:8" ht="23.1" customHeight="1" x14ac:dyDescent="0.25">
      <c r="A25" s="1">
        <v>1019</v>
      </c>
      <c r="B25" s="6" t="s">
        <v>29</v>
      </c>
      <c r="C25" s="7" t="s">
        <v>26</v>
      </c>
      <c r="D25" s="3" t="s">
        <v>109</v>
      </c>
      <c r="E25" s="3">
        <v>3</v>
      </c>
      <c r="F25" s="8">
        <v>750</v>
      </c>
      <c r="G25" s="10">
        <v>5</v>
      </c>
      <c r="H25" s="15">
        <v>46041</v>
      </c>
    </row>
    <row r="26" spans="1:8" ht="23.1" customHeight="1" x14ac:dyDescent="0.25">
      <c r="A26" s="1">
        <v>1020</v>
      </c>
      <c r="B26" s="6" t="s">
        <v>30</v>
      </c>
      <c r="C26" s="7" t="s">
        <v>26</v>
      </c>
      <c r="D26" s="3" t="s">
        <v>107</v>
      </c>
      <c r="E26" s="3">
        <v>2</v>
      </c>
      <c r="F26" s="8">
        <v>950</v>
      </c>
      <c r="G26" s="10">
        <v>5</v>
      </c>
      <c r="H26" s="15">
        <v>46042</v>
      </c>
    </row>
    <row r="27" spans="1:8" ht="23.1" customHeight="1" x14ac:dyDescent="0.25">
      <c r="A27" s="1">
        <v>1021</v>
      </c>
      <c r="B27" s="6" t="s">
        <v>31</v>
      </c>
      <c r="C27" s="7" t="s">
        <v>26</v>
      </c>
      <c r="D27" s="3" t="s">
        <v>110</v>
      </c>
      <c r="E27" s="3">
        <v>8</v>
      </c>
      <c r="F27" s="8">
        <v>133</v>
      </c>
      <c r="G27" s="10">
        <v>5</v>
      </c>
      <c r="H27" s="15">
        <v>46043</v>
      </c>
    </row>
    <row r="28" spans="1:8" ht="23.1" customHeight="1" x14ac:dyDescent="0.25">
      <c r="A28" s="1">
        <v>1022</v>
      </c>
      <c r="B28" s="6" t="s">
        <v>32</v>
      </c>
      <c r="C28" s="7" t="s">
        <v>26</v>
      </c>
      <c r="D28" s="3" t="s">
        <v>110</v>
      </c>
      <c r="E28" s="3">
        <v>4</v>
      </c>
      <c r="F28" s="8">
        <v>133</v>
      </c>
      <c r="G28" s="10">
        <v>5</v>
      </c>
      <c r="H28" s="15">
        <v>46044</v>
      </c>
    </row>
    <row r="29" spans="1:8" ht="23.1" customHeight="1" x14ac:dyDescent="0.25">
      <c r="A29" s="1">
        <v>1023</v>
      </c>
      <c r="B29" s="6" t="s">
        <v>33</v>
      </c>
      <c r="C29" s="7" t="s">
        <v>26</v>
      </c>
      <c r="D29" s="3" t="s">
        <v>109</v>
      </c>
      <c r="E29" s="3">
        <v>1</v>
      </c>
      <c r="F29" s="8">
        <v>133</v>
      </c>
      <c r="G29" s="10">
        <v>5</v>
      </c>
      <c r="H29" s="15">
        <v>46045</v>
      </c>
    </row>
    <row r="30" spans="1:8" ht="23.1" customHeight="1" x14ac:dyDescent="0.25">
      <c r="A30" s="1">
        <v>1024</v>
      </c>
      <c r="B30" s="6" t="s">
        <v>34</v>
      </c>
      <c r="C30" s="7" t="s">
        <v>26</v>
      </c>
      <c r="D30" s="3" t="s">
        <v>108</v>
      </c>
      <c r="E30" s="3">
        <v>6</v>
      </c>
      <c r="F30" s="8">
        <v>133</v>
      </c>
      <c r="G30" s="10">
        <v>5</v>
      </c>
      <c r="H30" s="15">
        <v>46046</v>
      </c>
    </row>
    <row r="31" spans="1:8" ht="23.1" customHeight="1" x14ac:dyDescent="0.25">
      <c r="A31" s="1">
        <v>1025</v>
      </c>
      <c r="B31" s="6" t="s">
        <v>35</v>
      </c>
      <c r="C31" s="7" t="s">
        <v>26</v>
      </c>
      <c r="D31" s="3" t="s">
        <v>107</v>
      </c>
      <c r="E31" s="3">
        <v>3</v>
      </c>
      <c r="F31" s="8">
        <v>133</v>
      </c>
      <c r="G31" s="10">
        <v>5</v>
      </c>
      <c r="H31" s="15">
        <v>46047</v>
      </c>
    </row>
    <row r="32" spans="1:8" ht="23.1" customHeight="1" x14ac:dyDescent="0.25">
      <c r="A32" s="1">
        <v>1026</v>
      </c>
      <c r="B32" s="6" t="s">
        <v>36</v>
      </c>
      <c r="C32" s="7" t="s">
        <v>37</v>
      </c>
      <c r="D32" s="3" t="s">
        <v>108</v>
      </c>
      <c r="E32" s="3">
        <v>5</v>
      </c>
      <c r="F32" s="8">
        <v>133</v>
      </c>
      <c r="G32" s="10">
        <v>5</v>
      </c>
      <c r="H32" s="15">
        <v>46048</v>
      </c>
    </row>
    <row r="33" spans="1:8" ht="23.1" customHeight="1" x14ac:dyDescent="0.25">
      <c r="A33" s="1">
        <v>1027</v>
      </c>
      <c r="B33" s="6" t="s">
        <v>38</v>
      </c>
      <c r="C33" s="7" t="s">
        <v>37</v>
      </c>
      <c r="D33" s="3" t="s">
        <v>109</v>
      </c>
      <c r="E33" s="3">
        <v>2</v>
      </c>
      <c r="F33" s="8">
        <v>133</v>
      </c>
      <c r="G33" s="10">
        <v>5</v>
      </c>
      <c r="H33" s="15">
        <v>46049</v>
      </c>
    </row>
    <row r="34" spans="1:8" ht="23.1" customHeight="1" x14ac:dyDescent="0.25">
      <c r="A34" s="1">
        <v>1028</v>
      </c>
      <c r="B34" s="6" t="s">
        <v>39</v>
      </c>
      <c r="C34" s="7" t="s">
        <v>37</v>
      </c>
      <c r="D34" s="3" t="s">
        <v>107</v>
      </c>
      <c r="E34" s="3">
        <v>7</v>
      </c>
      <c r="F34" s="8">
        <v>133</v>
      </c>
      <c r="G34" s="10">
        <v>5</v>
      </c>
      <c r="H34" s="15">
        <v>46050</v>
      </c>
    </row>
    <row r="35" spans="1:8" ht="23.1" customHeight="1" x14ac:dyDescent="0.25">
      <c r="A35" s="1">
        <v>1029</v>
      </c>
      <c r="B35" s="6" t="s">
        <v>40</v>
      </c>
      <c r="C35" s="7" t="s">
        <v>37</v>
      </c>
      <c r="D35" s="3" t="s">
        <v>110</v>
      </c>
      <c r="E35" s="3">
        <v>4</v>
      </c>
      <c r="F35" s="8">
        <v>133</v>
      </c>
      <c r="G35" s="10">
        <v>5</v>
      </c>
      <c r="H35" s="15">
        <v>46051</v>
      </c>
    </row>
    <row r="36" spans="1:8" ht="23.1" customHeight="1" x14ac:dyDescent="0.25">
      <c r="A36" s="1">
        <v>1030</v>
      </c>
      <c r="B36" s="6" t="s">
        <v>41</v>
      </c>
      <c r="C36" s="7" t="s">
        <v>37</v>
      </c>
      <c r="D36" s="3" t="s">
        <v>110</v>
      </c>
      <c r="E36" s="3">
        <v>1</v>
      </c>
      <c r="F36" s="8">
        <v>133</v>
      </c>
      <c r="G36" s="10">
        <v>5</v>
      </c>
      <c r="H36" s="15">
        <v>46052</v>
      </c>
    </row>
    <row r="37" spans="1:8" ht="23.1" customHeight="1" x14ac:dyDescent="0.25">
      <c r="A37" s="1">
        <v>1031</v>
      </c>
      <c r="B37" s="6" t="s">
        <v>42</v>
      </c>
      <c r="C37" s="7" t="s">
        <v>37</v>
      </c>
      <c r="D37" s="3" t="s">
        <v>109</v>
      </c>
      <c r="E37" s="3">
        <v>9</v>
      </c>
      <c r="F37" s="8">
        <v>133</v>
      </c>
      <c r="G37" s="10">
        <v>5</v>
      </c>
      <c r="H37" s="15">
        <v>46053</v>
      </c>
    </row>
    <row r="38" spans="1:8" ht="23.1" customHeight="1" x14ac:dyDescent="0.25">
      <c r="A38" s="1">
        <v>1032</v>
      </c>
      <c r="B38" s="6" t="s">
        <v>43</v>
      </c>
      <c r="C38" s="7" t="s">
        <v>37</v>
      </c>
      <c r="D38" s="3" t="s">
        <v>108</v>
      </c>
      <c r="E38" s="3">
        <v>2</v>
      </c>
      <c r="F38" s="8">
        <v>133</v>
      </c>
      <c r="G38" s="10">
        <v>5</v>
      </c>
      <c r="H38" s="15">
        <v>46054</v>
      </c>
    </row>
    <row r="39" spans="1:8" ht="23.1" customHeight="1" x14ac:dyDescent="0.25">
      <c r="A39" s="1">
        <v>1033</v>
      </c>
      <c r="B39" s="6" t="s">
        <v>44</v>
      </c>
      <c r="C39" s="7" t="s">
        <v>37</v>
      </c>
      <c r="D39" s="3" t="s">
        <v>107</v>
      </c>
      <c r="E39" s="3">
        <v>3</v>
      </c>
      <c r="F39" s="8">
        <v>133</v>
      </c>
      <c r="G39" s="10">
        <v>5</v>
      </c>
      <c r="H39" s="15">
        <v>46055</v>
      </c>
    </row>
    <row r="40" spans="1:8" ht="23.1" customHeight="1" x14ac:dyDescent="0.25">
      <c r="A40" s="1">
        <v>1034</v>
      </c>
      <c r="B40" s="6" t="s">
        <v>45</v>
      </c>
      <c r="C40" s="7" t="s">
        <v>37</v>
      </c>
      <c r="D40" s="3" t="s">
        <v>108</v>
      </c>
      <c r="E40" s="3">
        <v>6</v>
      </c>
      <c r="F40" s="8">
        <v>133</v>
      </c>
      <c r="G40" s="10">
        <v>5</v>
      </c>
      <c r="H40" s="15">
        <v>46056</v>
      </c>
    </row>
    <row r="41" spans="1:8" ht="23.1" customHeight="1" x14ac:dyDescent="0.25">
      <c r="A41" s="1">
        <v>1035</v>
      </c>
      <c r="B41" s="6" t="s">
        <v>46</v>
      </c>
      <c r="C41" s="7" t="s">
        <v>37</v>
      </c>
      <c r="D41" s="3" t="s">
        <v>109</v>
      </c>
      <c r="E41" s="3">
        <v>5</v>
      </c>
      <c r="F41" s="8">
        <v>133</v>
      </c>
      <c r="G41" s="10">
        <v>5</v>
      </c>
      <c r="H41" s="15">
        <v>46057</v>
      </c>
    </row>
    <row r="42" spans="1:8" ht="23.1" customHeight="1" x14ac:dyDescent="0.25">
      <c r="A42" s="1">
        <v>1036</v>
      </c>
      <c r="B42" s="6" t="s">
        <v>47</v>
      </c>
      <c r="C42" s="7" t="s">
        <v>48</v>
      </c>
      <c r="D42" s="3" t="s">
        <v>107</v>
      </c>
      <c r="E42" s="3">
        <v>1</v>
      </c>
      <c r="F42" s="8">
        <v>133</v>
      </c>
      <c r="G42" s="10">
        <v>5</v>
      </c>
      <c r="H42" s="15">
        <v>46058</v>
      </c>
    </row>
    <row r="43" spans="1:8" ht="23.1" customHeight="1" x14ac:dyDescent="0.25">
      <c r="A43" s="1">
        <v>1037</v>
      </c>
      <c r="B43" s="6" t="s">
        <v>49</v>
      </c>
      <c r="C43" s="7" t="s">
        <v>48</v>
      </c>
      <c r="D43" s="3" t="s">
        <v>110</v>
      </c>
      <c r="E43" s="3">
        <v>4</v>
      </c>
      <c r="F43" s="8">
        <v>133</v>
      </c>
      <c r="G43" s="10">
        <v>5</v>
      </c>
      <c r="H43" s="15">
        <v>46059</v>
      </c>
    </row>
    <row r="44" spans="1:8" ht="23.1" customHeight="1" x14ac:dyDescent="0.25">
      <c r="A44" s="1">
        <v>1038</v>
      </c>
      <c r="B44" s="6" t="s">
        <v>50</v>
      </c>
      <c r="C44" s="7" t="s">
        <v>48</v>
      </c>
      <c r="D44" s="3" t="s">
        <v>110</v>
      </c>
      <c r="E44" s="3">
        <v>2</v>
      </c>
      <c r="F44" s="8">
        <v>133</v>
      </c>
      <c r="G44" s="10">
        <v>5</v>
      </c>
      <c r="H44" s="15">
        <v>46060</v>
      </c>
    </row>
    <row r="45" spans="1:8" ht="23.1" customHeight="1" x14ac:dyDescent="0.25">
      <c r="A45" s="1">
        <v>1039</v>
      </c>
      <c r="B45" s="6" t="s">
        <v>51</v>
      </c>
      <c r="C45" s="7" t="s">
        <v>48</v>
      </c>
      <c r="D45" s="3" t="s">
        <v>109</v>
      </c>
      <c r="E45" s="3">
        <v>7</v>
      </c>
      <c r="F45" s="8">
        <v>133</v>
      </c>
      <c r="G45" s="10">
        <v>5</v>
      </c>
      <c r="H45" s="15">
        <v>46061</v>
      </c>
    </row>
    <row r="46" spans="1:8" ht="23.1" customHeight="1" x14ac:dyDescent="0.25">
      <c r="A46" s="1">
        <v>1040</v>
      </c>
      <c r="B46" s="6" t="s">
        <v>52</v>
      </c>
      <c r="C46" s="7" t="s">
        <v>48</v>
      </c>
      <c r="D46" s="3" t="s">
        <v>108</v>
      </c>
      <c r="E46" s="3">
        <v>3</v>
      </c>
      <c r="F46" s="8">
        <v>133</v>
      </c>
      <c r="G46" s="10">
        <v>5</v>
      </c>
      <c r="H46" s="15">
        <v>46062</v>
      </c>
    </row>
    <row r="47" spans="1:8" ht="23.1" customHeight="1" x14ac:dyDescent="0.25">
      <c r="A47" s="1">
        <v>1041</v>
      </c>
      <c r="B47" s="6" t="s">
        <v>53</v>
      </c>
      <c r="C47" s="7" t="s">
        <v>48</v>
      </c>
      <c r="D47" s="3" t="s">
        <v>107</v>
      </c>
      <c r="E47" s="3">
        <v>5</v>
      </c>
      <c r="F47" s="8">
        <v>133</v>
      </c>
      <c r="G47" s="10">
        <v>5</v>
      </c>
      <c r="H47" s="15">
        <v>46063</v>
      </c>
    </row>
    <row r="48" spans="1:8" ht="23.1" customHeight="1" x14ac:dyDescent="0.25">
      <c r="A48" s="1">
        <v>1042</v>
      </c>
      <c r="B48" s="6" t="s">
        <v>54</v>
      </c>
      <c r="C48" s="7" t="s">
        <v>48</v>
      </c>
      <c r="D48" s="3" t="s">
        <v>108</v>
      </c>
      <c r="E48" s="3">
        <v>8</v>
      </c>
      <c r="F48" s="8">
        <v>133</v>
      </c>
      <c r="G48" s="10">
        <v>5</v>
      </c>
      <c r="H48" s="15">
        <v>46064</v>
      </c>
    </row>
    <row r="49" spans="1:8" ht="23.1" customHeight="1" x14ac:dyDescent="0.25">
      <c r="A49" s="1">
        <v>1043</v>
      </c>
      <c r="B49" s="6" t="s">
        <v>55</v>
      </c>
      <c r="C49" s="7" t="s">
        <v>48</v>
      </c>
      <c r="D49" s="3" t="s">
        <v>109</v>
      </c>
      <c r="E49" s="3">
        <v>1</v>
      </c>
      <c r="F49" s="8">
        <v>133</v>
      </c>
      <c r="G49" s="10">
        <v>5</v>
      </c>
      <c r="H49" s="15">
        <v>46065</v>
      </c>
    </row>
    <row r="50" spans="1:8" ht="23.1" customHeight="1" x14ac:dyDescent="0.25">
      <c r="A50" s="1">
        <v>1044</v>
      </c>
      <c r="B50" s="6" t="s">
        <v>56</v>
      </c>
      <c r="C50" s="7" t="s">
        <v>48</v>
      </c>
      <c r="D50" s="3" t="s">
        <v>107</v>
      </c>
      <c r="E50" s="3">
        <v>4</v>
      </c>
      <c r="F50" s="8">
        <v>133</v>
      </c>
      <c r="G50" s="10">
        <v>5</v>
      </c>
      <c r="H50" s="15">
        <v>46066</v>
      </c>
    </row>
    <row r="51" spans="1:8" ht="23.1" customHeight="1" x14ac:dyDescent="0.25">
      <c r="A51" s="1">
        <v>1045</v>
      </c>
      <c r="B51" s="6" t="s">
        <v>57</v>
      </c>
      <c r="C51" s="7" t="s">
        <v>48</v>
      </c>
      <c r="D51" s="3" t="s">
        <v>110</v>
      </c>
      <c r="E51" s="3">
        <v>2</v>
      </c>
      <c r="F51" s="8">
        <v>133</v>
      </c>
      <c r="G51" s="10">
        <v>5</v>
      </c>
      <c r="H51" s="15">
        <v>46067</v>
      </c>
    </row>
    <row r="52" spans="1:8" ht="23.1" customHeight="1" x14ac:dyDescent="0.25">
      <c r="A52" s="1">
        <v>1046</v>
      </c>
      <c r="B52" s="6" t="s">
        <v>58</v>
      </c>
      <c r="C52" s="7" t="s">
        <v>59</v>
      </c>
      <c r="D52" s="3" t="s">
        <v>110</v>
      </c>
      <c r="E52" s="3">
        <v>6</v>
      </c>
      <c r="F52" s="8">
        <v>133</v>
      </c>
      <c r="G52" s="10">
        <v>5</v>
      </c>
      <c r="H52" s="15">
        <v>46068</v>
      </c>
    </row>
    <row r="53" spans="1:8" ht="23.1" customHeight="1" x14ac:dyDescent="0.25">
      <c r="A53" s="1">
        <v>1047</v>
      </c>
      <c r="B53" s="6" t="s">
        <v>60</v>
      </c>
      <c r="C53" s="7" t="s">
        <v>59</v>
      </c>
      <c r="D53" s="3" t="s">
        <v>109</v>
      </c>
      <c r="E53" s="3">
        <v>3</v>
      </c>
      <c r="F53" s="8">
        <v>133</v>
      </c>
      <c r="G53" s="10">
        <v>5</v>
      </c>
      <c r="H53" s="15">
        <v>46069</v>
      </c>
    </row>
    <row r="54" spans="1:8" ht="23.1" customHeight="1" x14ac:dyDescent="0.25">
      <c r="A54" s="1">
        <v>1048</v>
      </c>
      <c r="B54" s="6" t="s">
        <v>61</v>
      </c>
      <c r="C54" s="7" t="s">
        <v>59</v>
      </c>
      <c r="D54" s="3" t="s">
        <v>108</v>
      </c>
      <c r="E54" s="3">
        <v>5</v>
      </c>
      <c r="F54" s="8">
        <v>133</v>
      </c>
      <c r="G54" s="10">
        <v>5</v>
      </c>
      <c r="H54" s="15">
        <v>46070</v>
      </c>
    </row>
    <row r="55" spans="1:8" ht="23.1" customHeight="1" x14ac:dyDescent="0.25">
      <c r="A55" s="1">
        <v>1049</v>
      </c>
      <c r="B55" s="6" t="s">
        <v>62</v>
      </c>
      <c r="C55" s="7" t="s">
        <v>59</v>
      </c>
      <c r="D55" s="3" t="s">
        <v>107</v>
      </c>
      <c r="E55" s="3">
        <v>1</v>
      </c>
      <c r="F55" s="8">
        <v>133</v>
      </c>
      <c r="G55" s="10">
        <v>5</v>
      </c>
      <c r="H55" s="15">
        <v>46071</v>
      </c>
    </row>
    <row r="56" spans="1:8" ht="23.1" customHeight="1" x14ac:dyDescent="0.25">
      <c r="A56" s="1">
        <v>1050</v>
      </c>
      <c r="B56" s="6" t="s">
        <v>63</v>
      </c>
      <c r="C56" s="7" t="s">
        <v>59</v>
      </c>
      <c r="D56" s="3" t="s">
        <v>108</v>
      </c>
      <c r="E56" s="3">
        <v>7</v>
      </c>
      <c r="F56" s="8">
        <v>133</v>
      </c>
      <c r="G56" s="10">
        <v>5</v>
      </c>
      <c r="H56" s="15">
        <v>46072</v>
      </c>
    </row>
    <row r="57" spans="1:8" ht="23.1" customHeight="1" x14ac:dyDescent="0.25">
      <c r="A57" s="1">
        <v>1051</v>
      </c>
      <c r="B57" s="6" t="s">
        <v>64</v>
      </c>
      <c r="C57" s="7" t="s">
        <v>59</v>
      </c>
      <c r="D57" s="3" t="s">
        <v>109</v>
      </c>
      <c r="E57" s="3">
        <v>2</v>
      </c>
      <c r="F57" s="8">
        <v>133</v>
      </c>
      <c r="G57" s="10">
        <v>5</v>
      </c>
      <c r="H57" s="15">
        <v>46073</v>
      </c>
    </row>
    <row r="58" spans="1:8" ht="23.1" customHeight="1" x14ac:dyDescent="0.25">
      <c r="A58" s="1">
        <v>1052</v>
      </c>
      <c r="B58" s="6" t="s">
        <v>65</v>
      </c>
      <c r="C58" s="7" t="s">
        <v>59</v>
      </c>
      <c r="D58" s="3" t="s">
        <v>107</v>
      </c>
      <c r="E58" s="3">
        <v>4</v>
      </c>
      <c r="F58" s="8">
        <v>133</v>
      </c>
      <c r="G58" s="10">
        <v>5</v>
      </c>
      <c r="H58" s="15">
        <v>46074</v>
      </c>
    </row>
    <row r="59" spans="1:8" ht="23.1" customHeight="1" x14ac:dyDescent="0.25">
      <c r="A59" s="1">
        <v>1053</v>
      </c>
      <c r="B59" s="6" t="s">
        <v>66</v>
      </c>
      <c r="C59" s="7" t="s">
        <v>59</v>
      </c>
      <c r="D59" s="3" t="s">
        <v>110</v>
      </c>
      <c r="E59" s="3">
        <v>8</v>
      </c>
      <c r="F59" s="8">
        <v>133</v>
      </c>
      <c r="G59" s="10">
        <v>5</v>
      </c>
      <c r="H59" s="15">
        <v>46075</v>
      </c>
    </row>
    <row r="60" spans="1:8" ht="23.1" customHeight="1" x14ac:dyDescent="0.25">
      <c r="A60" s="1">
        <v>1054</v>
      </c>
      <c r="B60" s="6" t="s">
        <v>67</v>
      </c>
      <c r="C60" s="7" t="s">
        <v>59</v>
      </c>
      <c r="D60" s="3" t="s">
        <v>110</v>
      </c>
      <c r="E60" s="3">
        <v>3</v>
      </c>
      <c r="F60" s="8">
        <v>133</v>
      </c>
      <c r="G60" s="10">
        <v>5</v>
      </c>
      <c r="H60" s="15">
        <v>46076</v>
      </c>
    </row>
    <row r="61" spans="1:8" ht="23.1" customHeight="1" x14ac:dyDescent="0.25">
      <c r="A61" s="1">
        <v>1055</v>
      </c>
      <c r="B61" s="6" t="s">
        <v>68</v>
      </c>
      <c r="C61" s="7" t="s">
        <v>59</v>
      </c>
      <c r="D61" s="3" t="s">
        <v>109</v>
      </c>
      <c r="E61" s="3">
        <v>5</v>
      </c>
      <c r="F61" s="8">
        <v>133</v>
      </c>
      <c r="G61" s="10">
        <v>5</v>
      </c>
      <c r="H61" s="15">
        <v>46077</v>
      </c>
    </row>
    <row r="62" spans="1:8" ht="23.1" customHeight="1" x14ac:dyDescent="0.25">
      <c r="A62" s="1">
        <v>1056</v>
      </c>
      <c r="B62" s="6" t="s">
        <v>69</v>
      </c>
      <c r="C62" s="7" t="s">
        <v>59</v>
      </c>
      <c r="D62" s="3" t="s">
        <v>108</v>
      </c>
      <c r="E62" s="3">
        <v>2</v>
      </c>
      <c r="F62" s="8">
        <v>133</v>
      </c>
      <c r="G62" s="10">
        <v>5</v>
      </c>
      <c r="H62" s="15">
        <v>46078</v>
      </c>
    </row>
    <row r="63" spans="1:8" ht="23.1" customHeight="1" x14ac:dyDescent="0.25">
      <c r="A63" s="1">
        <v>1057</v>
      </c>
      <c r="B63" s="6" t="s">
        <v>70</v>
      </c>
      <c r="C63" s="7" t="s">
        <v>59</v>
      </c>
      <c r="D63" s="3" t="s">
        <v>107</v>
      </c>
      <c r="E63" s="3">
        <v>6</v>
      </c>
      <c r="F63" s="8">
        <v>133</v>
      </c>
      <c r="G63" s="10">
        <v>5</v>
      </c>
      <c r="H63" s="15">
        <v>46079</v>
      </c>
    </row>
    <row r="64" spans="1:8" ht="23.1" customHeight="1" x14ac:dyDescent="0.25">
      <c r="A64" s="1">
        <v>1058</v>
      </c>
      <c r="B64" s="6" t="s">
        <v>71</v>
      </c>
      <c r="C64" s="7" t="s">
        <v>59</v>
      </c>
      <c r="D64" s="3" t="s">
        <v>108</v>
      </c>
      <c r="E64" s="3">
        <v>1</v>
      </c>
      <c r="F64" s="8">
        <v>133</v>
      </c>
      <c r="G64" s="10">
        <v>5</v>
      </c>
      <c r="H64" s="15">
        <v>46080</v>
      </c>
    </row>
    <row r="65" spans="1:8" ht="23.1" customHeight="1" x14ac:dyDescent="0.25">
      <c r="A65" s="1">
        <v>1059</v>
      </c>
      <c r="B65" s="6" t="s">
        <v>72</v>
      </c>
      <c r="C65" s="7" t="s">
        <v>59</v>
      </c>
      <c r="D65" s="3" t="s">
        <v>109</v>
      </c>
      <c r="E65" s="3">
        <v>2</v>
      </c>
      <c r="F65" s="8">
        <v>133</v>
      </c>
      <c r="G65" s="10">
        <v>5</v>
      </c>
      <c r="H65" s="15">
        <v>46081</v>
      </c>
    </row>
    <row r="66" spans="1:8" ht="23.1" customHeight="1" x14ac:dyDescent="0.25">
      <c r="A66" s="1">
        <v>1060</v>
      </c>
      <c r="B66" s="6" t="s">
        <v>73</v>
      </c>
      <c r="C66" s="7" t="s">
        <v>59</v>
      </c>
      <c r="D66" s="3" t="s">
        <v>107</v>
      </c>
      <c r="E66" s="3">
        <v>5</v>
      </c>
      <c r="F66" s="8">
        <v>133</v>
      </c>
      <c r="G66" s="10">
        <v>5</v>
      </c>
      <c r="H66" s="15">
        <v>46082</v>
      </c>
    </row>
    <row r="67" spans="1:8" ht="23.1" customHeight="1" x14ac:dyDescent="0.25">
      <c r="A67" s="1">
        <v>1061</v>
      </c>
      <c r="B67" s="6" t="s">
        <v>74</v>
      </c>
      <c r="C67" s="7" t="s">
        <v>75</v>
      </c>
      <c r="D67" s="3" t="s">
        <v>110</v>
      </c>
      <c r="E67" s="3">
        <v>1</v>
      </c>
      <c r="F67" s="8">
        <v>133</v>
      </c>
      <c r="G67" s="10">
        <v>5</v>
      </c>
      <c r="H67" s="15">
        <v>46083</v>
      </c>
    </row>
    <row r="68" spans="1:8" ht="23.1" customHeight="1" x14ac:dyDescent="0.25">
      <c r="A68" s="1">
        <v>1062</v>
      </c>
      <c r="B68" s="6" t="s">
        <v>76</v>
      </c>
      <c r="C68" s="7" t="s">
        <v>75</v>
      </c>
      <c r="D68" s="3" t="s">
        <v>110</v>
      </c>
      <c r="E68" s="3">
        <v>3</v>
      </c>
      <c r="F68" s="8">
        <v>133</v>
      </c>
      <c r="G68" s="10">
        <v>5</v>
      </c>
      <c r="H68" s="15">
        <v>46084</v>
      </c>
    </row>
    <row r="69" spans="1:8" ht="23.1" customHeight="1" x14ac:dyDescent="0.25">
      <c r="A69" s="1">
        <v>1063</v>
      </c>
      <c r="B69" s="6" t="s">
        <v>77</v>
      </c>
      <c r="C69" s="7" t="s">
        <v>75</v>
      </c>
      <c r="D69" s="3" t="s">
        <v>109</v>
      </c>
      <c r="E69" s="3">
        <v>4</v>
      </c>
      <c r="F69" s="8">
        <v>133</v>
      </c>
      <c r="G69" s="10">
        <v>5</v>
      </c>
      <c r="H69" s="15">
        <v>46085</v>
      </c>
    </row>
    <row r="70" spans="1:8" ht="23.1" customHeight="1" x14ac:dyDescent="0.25">
      <c r="A70" s="1">
        <v>1064</v>
      </c>
      <c r="B70" s="6" t="s">
        <v>78</v>
      </c>
      <c r="C70" s="7" t="s">
        <v>75</v>
      </c>
      <c r="D70" s="3" t="s">
        <v>108</v>
      </c>
      <c r="E70" s="3">
        <v>6</v>
      </c>
      <c r="F70" s="8">
        <v>133</v>
      </c>
      <c r="G70" s="10">
        <v>5</v>
      </c>
      <c r="H70" s="15">
        <v>46086</v>
      </c>
    </row>
    <row r="71" spans="1:8" ht="23.1" customHeight="1" x14ac:dyDescent="0.25">
      <c r="A71" s="1">
        <v>1065</v>
      </c>
      <c r="B71" s="6" t="s">
        <v>79</v>
      </c>
      <c r="C71" s="7" t="s">
        <v>75</v>
      </c>
      <c r="D71" s="3" t="s">
        <v>107</v>
      </c>
      <c r="E71" s="3">
        <v>2</v>
      </c>
      <c r="F71" s="8">
        <v>133</v>
      </c>
      <c r="G71" s="10">
        <v>5</v>
      </c>
      <c r="H71" s="15">
        <v>46087</v>
      </c>
    </row>
    <row r="72" spans="1:8" ht="23.1" customHeight="1" x14ac:dyDescent="0.25">
      <c r="A72" s="1">
        <v>1066</v>
      </c>
      <c r="B72" s="6" t="s">
        <v>80</v>
      </c>
      <c r="C72" s="7" t="s">
        <v>75</v>
      </c>
      <c r="D72" s="3" t="s">
        <v>108</v>
      </c>
      <c r="E72" s="3">
        <v>7</v>
      </c>
      <c r="F72" s="8">
        <v>133</v>
      </c>
      <c r="G72" s="10">
        <v>5</v>
      </c>
      <c r="H72" s="15">
        <v>46088</v>
      </c>
    </row>
    <row r="73" spans="1:8" ht="23.1" customHeight="1" x14ac:dyDescent="0.25">
      <c r="A73" s="1">
        <v>1067</v>
      </c>
      <c r="B73" s="6" t="s">
        <v>81</v>
      </c>
      <c r="C73" s="7" t="s">
        <v>75</v>
      </c>
      <c r="D73" s="3" t="s">
        <v>109</v>
      </c>
      <c r="E73" s="3">
        <v>1</v>
      </c>
      <c r="F73" s="8">
        <v>133</v>
      </c>
      <c r="G73" s="10">
        <v>5</v>
      </c>
      <c r="H73" s="15">
        <v>46089</v>
      </c>
    </row>
    <row r="74" spans="1:8" ht="23.1" customHeight="1" x14ac:dyDescent="0.25">
      <c r="A74" s="1">
        <v>1068</v>
      </c>
      <c r="B74" s="6" t="s">
        <v>82</v>
      </c>
      <c r="C74" s="7" t="s">
        <v>75</v>
      </c>
      <c r="D74" s="3" t="s">
        <v>107</v>
      </c>
      <c r="E74" s="3">
        <v>5</v>
      </c>
      <c r="F74" s="8">
        <v>133</v>
      </c>
      <c r="G74" s="10">
        <v>5</v>
      </c>
      <c r="H74" s="15">
        <v>46090</v>
      </c>
    </row>
    <row r="75" spans="1:8" ht="23.1" customHeight="1" x14ac:dyDescent="0.25">
      <c r="A75" s="1">
        <v>1069</v>
      </c>
      <c r="B75" s="6" t="s">
        <v>83</v>
      </c>
      <c r="C75" s="7" t="s">
        <v>75</v>
      </c>
      <c r="D75" s="3" t="s">
        <v>110</v>
      </c>
      <c r="E75" s="3">
        <v>3</v>
      </c>
      <c r="F75" s="8">
        <v>133</v>
      </c>
      <c r="G75" s="10">
        <v>5</v>
      </c>
      <c r="H75" s="15">
        <v>46091</v>
      </c>
    </row>
    <row r="76" spans="1:8" ht="23.1" customHeight="1" x14ac:dyDescent="0.25">
      <c r="A76" s="1">
        <v>1070</v>
      </c>
      <c r="B76" s="6" t="s">
        <v>84</v>
      </c>
      <c r="C76" s="7" t="s">
        <v>75</v>
      </c>
      <c r="D76" s="3" t="s">
        <v>110</v>
      </c>
      <c r="E76" s="3">
        <v>2</v>
      </c>
      <c r="F76" s="8">
        <v>133</v>
      </c>
      <c r="G76" s="10">
        <v>5</v>
      </c>
      <c r="H76" s="15">
        <v>46092</v>
      </c>
    </row>
    <row r="77" spans="1:8" ht="23.1" customHeight="1" x14ac:dyDescent="0.25">
      <c r="A77" s="1">
        <v>1071</v>
      </c>
      <c r="B77" s="6" t="s">
        <v>85</v>
      </c>
      <c r="C77" s="7" t="s">
        <v>86</v>
      </c>
      <c r="D77" s="3" t="s">
        <v>109</v>
      </c>
      <c r="E77" s="3">
        <v>8</v>
      </c>
      <c r="F77" s="8">
        <v>133</v>
      </c>
      <c r="G77" s="10">
        <v>5</v>
      </c>
      <c r="H77" s="15">
        <v>46093</v>
      </c>
    </row>
    <row r="78" spans="1:8" ht="23.1" customHeight="1" x14ac:dyDescent="0.25">
      <c r="A78" s="1">
        <v>1072</v>
      </c>
      <c r="B78" s="6" t="s">
        <v>87</v>
      </c>
      <c r="C78" s="7" t="s">
        <v>86</v>
      </c>
      <c r="D78" s="3" t="s">
        <v>108</v>
      </c>
      <c r="E78" s="3">
        <v>4</v>
      </c>
      <c r="F78" s="8">
        <v>133</v>
      </c>
      <c r="G78" s="10">
        <v>5</v>
      </c>
      <c r="H78" s="15">
        <v>46094</v>
      </c>
    </row>
    <row r="79" spans="1:8" ht="23.1" customHeight="1" x14ac:dyDescent="0.25">
      <c r="A79" s="1">
        <v>1073</v>
      </c>
      <c r="B79" s="6" t="s">
        <v>88</v>
      </c>
      <c r="C79" s="7" t="s">
        <v>86</v>
      </c>
      <c r="D79" s="3" t="s">
        <v>107</v>
      </c>
      <c r="E79" s="3">
        <v>1</v>
      </c>
      <c r="F79" s="8">
        <v>133</v>
      </c>
      <c r="G79" s="10">
        <v>5</v>
      </c>
      <c r="H79" s="15">
        <v>46095</v>
      </c>
    </row>
    <row r="80" spans="1:8" ht="23.1" customHeight="1" x14ac:dyDescent="0.25">
      <c r="A80" s="1">
        <v>1074</v>
      </c>
      <c r="B80" s="6" t="s">
        <v>89</v>
      </c>
      <c r="C80" s="7" t="s">
        <v>86</v>
      </c>
      <c r="D80" s="3" t="s">
        <v>108</v>
      </c>
      <c r="E80" s="3">
        <v>6</v>
      </c>
      <c r="F80" s="8">
        <v>133</v>
      </c>
      <c r="G80" s="10">
        <v>5</v>
      </c>
      <c r="H80" s="15">
        <v>46096</v>
      </c>
    </row>
    <row r="81" spans="1:8" ht="23.1" customHeight="1" x14ac:dyDescent="0.25">
      <c r="A81" s="1">
        <v>1075</v>
      </c>
      <c r="B81" s="6" t="s">
        <v>90</v>
      </c>
      <c r="C81" s="7" t="s">
        <v>86</v>
      </c>
      <c r="D81" s="3" t="s">
        <v>109</v>
      </c>
      <c r="E81" s="3">
        <v>3</v>
      </c>
      <c r="F81" s="8">
        <v>133</v>
      </c>
      <c r="G81" s="10">
        <v>5</v>
      </c>
      <c r="H81" s="15">
        <v>46097</v>
      </c>
    </row>
    <row r="82" spans="1:8" ht="23.1" customHeight="1" x14ac:dyDescent="0.25">
      <c r="A82" s="1">
        <v>1076</v>
      </c>
      <c r="B82" s="6" t="s">
        <v>91</v>
      </c>
      <c r="C82" s="7" t="s">
        <v>86</v>
      </c>
      <c r="D82" s="3" t="s">
        <v>107</v>
      </c>
      <c r="E82" s="3">
        <v>5</v>
      </c>
      <c r="F82" s="8">
        <v>133</v>
      </c>
      <c r="G82" s="10">
        <v>5</v>
      </c>
      <c r="H82" s="15">
        <v>46098</v>
      </c>
    </row>
    <row r="83" spans="1:8" ht="23.1" customHeight="1" x14ac:dyDescent="0.25">
      <c r="A83" s="1">
        <v>1077</v>
      </c>
      <c r="B83" s="6" t="s">
        <v>92</v>
      </c>
      <c r="C83" s="7" t="s">
        <v>86</v>
      </c>
      <c r="D83" s="3" t="s">
        <v>110</v>
      </c>
      <c r="E83" s="3">
        <v>2</v>
      </c>
      <c r="F83" s="8">
        <v>133</v>
      </c>
      <c r="G83" s="10">
        <v>5</v>
      </c>
      <c r="H83" s="15">
        <v>46099</v>
      </c>
    </row>
    <row r="84" spans="1:8" ht="23.1" customHeight="1" x14ac:dyDescent="0.25">
      <c r="A84" s="1">
        <v>1078</v>
      </c>
      <c r="B84" s="6" t="s">
        <v>93</v>
      </c>
      <c r="C84" s="7" t="s">
        <v>86</v>
      </c>
      <c r="D84" s="3" t="s">
        <v>110</v>
      </c>
      <c r="E84" s="3">
        <v>7</v>
      </c>
      <c r="F84" s="8">
        <v>133</v>
      </c>
      <c r="G84" s="10">
        <v>5</v>
      </c>
      <c r="H84" s="15">
        <v>46100</v>
      </c>
    </row>
    <row r="85" spans="1:8" ht="23.1" customHeight="1" x14ac:dyDescent="0.25">
      <c r="A85" s="1">
        <v>1079</v>
      </c>
      <c r="B85" s="6" t="s">
        <v>94</v>
      </c>
      <c r="C85" s="7" t="s">
        <v>86</v>
      </c>
      <c r="D85" s="3" t="s">
        <v>109</v>
      </c>
      <c r="E85" s="3">
        <v>4</v>
      </c>
      <c r="F85" s="8">
        <v>133</v>
      </c>
      <c r="G85" s="10">
        <v>5</v>
      </c>
      <c r="H85" s="15">
        <v>46101</v>
      </c>
    </row>
    <row r="86" spans="1:8" ht="23.1" customHeight="1" x14ac:dyDescent="0.25">
      <c r="A86" s="1">
        <v>1080</v>
      </c>
      <c r="B86" s="6" t="s">
        <v>95</v>
      </c>
      <c r="C86" s="7" t="s">
        <v>86</v>
      </c>
      <c r="D86" s="3" t="s">
        <v>108</v>
      </c>
      <c r="E86" s="3">
        <v>1</v>
      </c>
      <c r="F86" s="8">
        <v>133</v>
      </c>
      <c r="G86" s="10">
        <v>5</v>
      </c>
      <c r="H86" s="15">
        <v>46102</v>
      </c>
    </row>
    <row r="87" spans="1:8" ht="23.1" customHeight="1" x14ac:dyDescent="0.25">
      <c r="A87" s="1">
        <v>1081</v>
      </c>
      <c r="B87" s="6" t="s">
        <v>96</v>
      </c>
      <c r="C87" s="7" t="s">
        <v>97</v>
      </c>
      <c r="D87" s="3" t="s">
        <v>107</v>
      </c>
      <c r="E87" s="3">
        <v>9</v>
      </c>
      <c r="F87" s="8">
        <v>133</v>
      </c>
      <c r="G87" s="10">
        <v>5</v>
      </c>
      <c r="H87" s="15">
        <v>46103</v>
      </c>
    </row>
    <row r="88" spans="1:8" ht="23.1" customHeight="1" x14ac:dyDescent="0.25">
      <c r="A88" s="1">
        <v>1082</v>
      </c>
      <c r="B88" s="6" t="s">
        <v>98</v>
      </c>
      <c r="C88" s="7" t="s">
        <v>97</v>
      </c>
      <c r="D88" s="3" t="s">
        <v>108</v>
      </c>
      <c r="E88" s="3">
        <v>2</v>
      </c>
      <c r="F88" s="8">
        <v>133</v>
      </c>
      <c r="G88" s="10">
        <v>5</v>
      </c>
      <c r="H88" s="15">
        <v>46104</v>
      </c>
    </row>
    <row r="89" spans="1:8" ht="23.1" customHeight="1" x14ac:dyDescent="0.25">
      <c r="A89" s="1">
        <v>1083</v>
      </c>
      <c r="B89" s="6" t="s">
        <v>99</v>
      </c>
      <c r="C89" s="7" t="s">
        <v>97</v>
      </c>
      <c r="D89" s="3" t="s">
        <v>109</v>
      </c>
      <c r="E89" s="3">
        <v>3</v>
      </c>
      <c r="F89" s="8">
        <v>133</v>
      </c>
      <c r="G89" s="10">
        <v>5</v>
      </c>
      <c r="H89" s="15">
        <v>46105</v>
      </c>
    </row>
    <row r="90" spans="1:8" ht="23.1" customHeight="1" x14ac:dyDescent="0.25">
      <c r="A90" s="1">
        <v>1084</v>
      </c>
      <c r="B90" s="6" t="s">
        <v>100</v>
      </c>
      <c r="C90" s="7" t="s">
        <v>97</v>
      </c>
      <c r="D90" s="3" t="s">
        <v>107</v>
      </c>
      <c r="E90" s="3">
        <v>6</v>
      </c>
      <c r="F90" s="8">
        <v>133</v>
      </c>
      <c r="G90" s="10">
        <v>5</v>
      </c>
      <c r="H90" s="15">
        <v>46106</v>
      </c>
    </row>
    <row r="91" spans="1:8" ht="23.1" customHeight="1" x14ac:dyDescent="0.25">
      <c r="A91" s="1">
        <v>1085</v>
      </c>
      <c r="B91" s="6" t="s">
        <v>101</v>
      </c>
      <c r="C91" s="7" t="s">
        <v>97</v>
      </c>
      <c r="D91" s="3" t="s">
        <v>110</v>
      </c>
      <c r="E91" s="3">
        <v>5</v>
      </c>
      <c r="F91" s="8">
        <v>133</v>
      </c>
      <c r="G91" s="10">
        <v>5</v>
      </c>
      <c r="H91" s="15">
        <v>46107</v>
      </c>
    </row>
    <row r="92" spans="1:8" ht="23.1" customHeight="1" x14ac:dyDescent="0.25">
      <c r="A92" s="1">
        <v>1086</v>
      </c>
      <c r="B92" s="6" t="s">
        <v>102</v>
      </c>
      <c r="C92" s="7" t="s">
        <v>97</v>
      </c>
      <c r="D92" s="3" t="s">
        <v>110</v>
      </c>
      <c r="E92" s="3">
        <v>1</v>
      </c>
      <c r="F92" s="8">
        <v>133</v>
      </c>
      <c r="G92" s="10">
        <v>5</v>
      </c>
      <c r="H92" s="15">
        <v>46108</v>
      </c>
    </row>
    <row r="93" spans="1:8" ht="23.1" customHeight="1" x14ac:dyDescent="0.25">
      <c r="A93" s="1">
        <v>1087</v>
      </c>
      <c r="B93" s="6" t="s">
        <v>103</v>
      </c>
      <c r="C93" s="7" t="s">
        <v>97</v>
      </c>
      <c r="D93" s="3" t="s">
        <v>109</v>
      </c>
      <c r="E93" s="3">
        <v>4</v>
      </c>
      <c r="F93" s="8">
        <v>133</v>
      </c>
      <c r="G93" s="10">
        <v>5</v>
      </c>
      <c r="H93" s="15">
        <v>46109</v>
      </c>
    </row>
    <row r="94" spans="1:8" ht="23.1" customHeight="1" x14ac:dyDescent="0.25">
      <c r="A94" s="1">
        <v>1088</v>
      </c>
      <c r="B94" s="6" t="s">
        <v>104</v>
      </c>
      <c r="C94" s="7" t="s">
        <v>97</v>
      </c>
      <c r="D94" s="3" t="s">
        <v>108</v>
      </c>
      <c r="E94" s="3">
        <v>2</v>
      </c>
      <c r="F94" s="8">
        <v>133</v>
      </c>
      <c r="G94" s="10">
        <v>5</v>
      </c>
      <c r="H94" s="15">
        <v>46110</v>
      </c>
    </row>
    <row r="95" spans="1:8" ht="23.1" customHeight="1" x14ac:dyDescent="0.25">
      <c r="A95" s="1">
        <v>1089</v>
      </c>
      <c r="B95" s="6" t="s">
        <v>105</v>
      </c>
      <c r="C95" s="7" t="s">
        <v>97</v>
      </c>
      <c r="D95" s="3" t="s">
        <v>107</v>
      </c>
      <c r="E95" s="3">
        <v>7</v>
      </c>
      <c r="F95" s="8">
        <v>133</v>
      </c>
      <c r="G95" s="10">
        <v>5</v>
      </c>
      <c r="H95" s="15">
        <v>46111</v>
      </c>
    </row>
    <row r="96" spans="1:8" ht="23.1" customHeight="1" x14ac:dyDescent="0.25">
      <c r="A96" s="1">
        <v>1090</v>
      </c>
      <c r="B96" s="6" t="s">
        <v>106</v>
      </c>
      <c r="C96" s="7" t="s">
        <v>97</v>
      </c>
      <c r="D96" s="3" t="s">
        <v>108</v>
      </c>
      <c r="E96" s="3">
        <v>3</v>
      </c>
      <c r="F96" s="8">
        <v>133</v>
      </c>
      <c r="G96" s="10">
        <v>5</v>
      </c>
      <c r="H96" s="15">
        <v>46112</v>
      </c>
    </row>
    <row r="97" spans="1:8" ht="23.1" customHeight="1" x14ac:dyDescent="0.25">
      <c r="A97" s="1">
        <v>1091</v>
      </c>
      <c r="B97" s="6" t="s">
        <v>106</v>
      </c>
      <c r="C97" s="7" t="s">
        <v>97</v>
      </c>
      <c r="D97" s="3" t="s">
        <v>108</v>
      </c>
      <c r="E97" s="3">
        <v>5</v>
      </c>
      <c r="F97" s="8">
        <v>133</v>
      </c>
      <c r="G97" s="10">
        <v>5</v>
      </c>
      <c r="H97" s="15">
        <v>46113</v>
      </c>
    </row>
    <row r="98" spans="1:8" ht="23.1" customHeight="1" x14ac:dyDescent="0.25">
      <c r="A98" s="1">
        <v>1092</v>
      </c>
      <c r="B98" s="6" t="s">
        <v>106</v>
      </c>
      <c r="C98" s="7" t="s">
        <v>97</v>
      </c>
      <c r="D98" s="3" t="s">
        <v>109</v>
      </c>
      <c r="E98" s="3">
        <v>8</v>
      </c>
      <c r="F98" s="8">
        <v>133</v>
      </c>
      <c r="G98" s="10">
        <v>5</v>
      </c>
      <c r="H98" s="15">
        <v>46114</v>
      </c>
    </row>
    <row r="99" spans="1:8" ht="23.1" customHeight="1" x14ac:dyDescent="0.25">
      <c r="A99" s="1">
        <v>1093</v>
      </c>
      <c r="B99" s="6" t="s">
        <v>106</v>
      </c>
      <c r="C99" s="7" t="s">
        <v>97</v>
      </c>
      <c r="D99" s="3" t="s">
        <v>107</v>
      </c>
      <c r="E99" s="3">
        <v>1</v>
      </c>
      <c r="F99" s="8">
        <v>133</v>
      </c>
      <c r="G99" s="10">
        <v>5</v>
      </c>
      <c r="H99" s="15">
        <v>46115</v>
      </c>
    </row>
    <row r="100" spans="1:8" ht="23.1" customHeight="1" x14ac:dyDescent="0.25">
      <c r="A100" s="1">
        <v>1094</v>
      </c>
      <c r="B100" s="6" t="s">
        <v>106</v>
      </c>
      <c r="C100" s="7" t="s">
        <v>97</v>
      </c>
      <c r="D100" s="3" t="s">
        <v>110</v>
      </c>
      <c r="E100" s="3">
        <v>4</v>
      </c>
      <c r="F100" s="8">
        <v>133</v>
      </c>
      <c r="G100" s="10">
        <v>5</v>
      </c>
      <c r="H100" s="15">
        <v>46116</v>
      </c>
    </row>
    <row r="101" spans="1:8" ht="23.1" customHeight="1" x14ac:dyDescent="0.25">
      <c r="A101" s="1">
        <v>1095</v>
      </c>
      <c r="B101" s="6" t="s">
        <v>106</v>
      </c>
      <c r="C101" s="7" t="s">
        <v>97</v>
      </c>
      <c r="D101" s="3" t="s">
        <v>110</v>
      </c>
      <c r="E101" s="3">
        <v>2</v>
      </c>
      <c r="F101" s="8">
        <v>133</v>
      </c>
      <c r="G101" s="10">
        <v>5</v>
      </c>
      <c r="H101" s="15">
        <v>46117</v>
      </c>
    </row>
    <row r="102" spans="1:8" ht="23.1" customHeight="1" x14ac:dyDescent="0.25">
      <c r="A102" s="1">
        <v>1096</v>
      </c>
      <c r="B102" s="6" t="s">
        <v>106</v>
      </c>
      <c r="C102" s="7" t="s">
        <v>97</v>
      </c>
      <c r="D102" s="3" t="s">
        <v>109</v>
      </c>
      <c r="E102" s="3">
        <v>6</v>
      </c>
      <c r="F102" s="8">
        <v>133</v>
      </c>
      <c r="G102" s="10">
        <v>5</v>
      </c>
      <c r="H102" s="15">
        <v>46118</v>
      </c>
    </row>
    <row r="103" spans="1:8" ht="23.1" customHeight="1" x14ac:dyDescent="0.25">
      <c r="A103" s="1">
        <v>1097</v>
      </c>
      <c r="B103" s="6" t="s">
        <v>106</v>
      </c>
      <c r="C103" s="7" t="s">
        <v>97</v>
      </c>
      <c r="D103" s="3" t="s">
        <v>108</v>
      </c>
      <c r="E103" s="3">
        <v>3</v>
      </c>
      <c r="F103" s="8">
        <v>133</v>
      </c>
      <c r="G103" s="10">
        <v>5</v>
      </c>
      <c r="H103" s="15">
        <v>46119</v>
      </c>
    </row>
    <row r="104" spans="1:8" ht="23.1" customHeight="1" x14ac:dyDescent="0.25">
      <c r="A104" s="1">
        <v>1098</v>
      </c>
      <c r="B104" s="6" t="s">
        <v>106</v>
      </c>
      <c r="C104" s="7" t="s">
        <v>97</v>
      </c>
      <c r="D104" s="3" t="s">
        <v>107</v>
      </c>
      <c r="E104" s="3">
        <v>5</v>
      </c>
      <c r="F104" s="8">
        <v>133</v>
      </c>
      <c r="G104" s="10">
        <v>5</v>
      </c>
      <c r="H104" s="15">
        <v>46120</v>
      </c>
    </row>
    <row r="105" spans="1:8" ht="23.1" customHeight="1" x14ac:dyDescent="0.25">
      <c r="A105" s="1">
        <v>1099</v>
      </c>
      <c r="B105" s="6" t="s">
        <v>106</v>
      </c>
      <c r="C105" s="7" t="s">
        <v>97</v>
      </c>
      <c r="D105" s="3" t="s">
        <v>108</v>
      </c>
      <c r="E105" s="3">
        <v>1</v>
      </c>
      <c r="F105" s="8">
        <v>133</v>
      </c>
      <c r="G105" s="10">
        <v>5</v>
      </c>
      <c r="H105" s="15">
        <v>46121</v>
      </c>
    </row>
    <row r="106" spans="1:8" ht="23.1" customHeight="1" x14ac:dyDescent="0.25">
      <c r="A106" s="1">
        <v>1100</v>
      </c>
      <c r="B106" s="6" t="s">
        <v>106</v>
      </c>
      <c r="C106" s="7" t="s">
        <v>97</v>
      </c>
      <c r="D106" s="3" t="s">
        <v>108</v>
      </c>
      <c r="E106" s="3">
        <v>7</v>
      </c>
      <c r="F106" s="8">
        <v>133</v>
      </c>
      <c r="G106" s="10">
        <v>5</v>
      </c>
      <c r="H106" s="15">
        <v>46122</v>
      </c>
    </row>
    <row r="107" spans="1:8" ht="23.1" customHeight="1" x14ac:dyDescent="0.25">
      <c r="A107" s="1">
        <v>1101</v>
      </c>
      <c r="B107" s="6" t="s">
        <v>106</v>
      </c>
      <c r="C107" s="7" t="s">
        <v>97</v>
      </c>
      <c r="D107" s="3" t="s">
        <v>109</v>
      </c>
      <c r="E107" s="3">
        <v>2</v>
      </c>
      <c r="F107" s="8">
        <v>133</v>
      </c>
      <c r="G107" s="10">
        <v>5</v>
      </c>
      <c r="H107" s="15">
        <v>46123</v>
      </c>
    </row>
    <row r="108" spans="1:8" ht="23.1" customHeight="1" x14ac:dyDescent="0.25">
      <c r="A108" s="1">
        <v>1102</v>
      </c>
      <c r="B108" s="6" t="s">
        <v>106</v>
      </c>
      <c r="C108" s="7" t="s">
        <v>97</v>
      </c>
      <c r="D108" s="3" t="s">
        <v>107</v>
      </c>
      <c r="E108" s="3">
        <v>4</v>
      </c>
      <c r="F108" s="8">
        <v>133</v>
      </c>
      <c r="G108" s="10">
        <v>5</v>
      </c>
      <c r="H108" s="15">
        <v>46124</v>
      </c>
    </row>
    <row r="109" spans="1:8" ht="23.1" customHeight="1" x14ac:dyDescent="0.25">
      <c r="A109" s="1">
        <v>1103</v>
      </c>
      <c r="B109" s="6" t="s">
        <v>106</v>
      </c>
      <c r="C109" s="7" t="s">
        <v>97</v>
      </c>
      <c r="D109" s="3" t="s">
        <v>110</v>
      </c>
      <c r="E109" s="3">
        <v>8</v>
      </c>
      <c r="F109" s="8">
        <v>133</v>
      </c>
      <c r="G109" s="10">
        <v>5</v>
      </c>
      <c r="H109" s="15">
        <v>46125</v>
      </c>
    </row>
    <row r="110" spans="1:8" ht="23.1" customHeight="1" x14ac:dyDescent="0.25">
      <c r="A110" s="1">
        <v>1104</v>
      </c>
      <c r="B110" s="6" t="s">
        <v>106</v>
      </c>
      <c r="C110" s="7" t="s">
        <v>97</v>
      </c>
      <c r="D110" s="3" t="s">
        <v>110</v>
      </c>
      <c r="E110" s="3">
        <v>3</v>
      </c>
      <c r="F110" s="8">
        <v>133</v>
      </c>
      <c r="G110" s="10">
        <v>5</v>
      </c>
      <c r="H110" s="15">
        <v>46126</v>
      </c>
    </row>
    <row r="111" spans="1:8" ht="23.1" customHeight="1" x14ac:dyDescent="0.25">
      <c r="A111" s="1">
        <v>1105</v>
      </c>
      <c r="B111" s="6" t="s">
        <v>106</v>
      </c>
      <c r="C111" s="7" t="s">
        <v>97</v>
      </c>
      <c r="D111" s="3" t="s">
        <v>109</v>
      </c>
      <c r="E111" s="3">
        <v>5</v>
      </c>
      <c r="F111" s="8">
        <v>133</v>
      </c>
      <c r="G111" s="10">
        <v>5</v>
      </c>
      <c r="H111" s="15">
        <v>46127</v>
      </c>
    </row>
    <row r="112" spans="1:8" ht="23.1" customHeight="1" x14ac:dyDescent="0.25">
      <c r="A112" s="1">
        <v>1106</v>
      </c>
      <c r="B112" s="6" t="s">
        <v>106</v>
      </c>
      <c r="C112" s="7" t="s">
        <v>97</v>
      </c>
      <c r="D112" s="3" t="s">
        <v>108</v>
      </c>
      <c r="E112" s="3">
        <v>2</v>
      </c>
      <c r="F112" s="8">
        <v>133</v>
      </c>
      <c r="G112" s="10">
        <v>5</v>
      </c>
      <c r="H112" s="15">
        <v>46128</v>
      </c>
    </row>
    <row r="113" spans="1:8" ht="23.1" customHeight="1" x14ac:dyDescent="0.25">
      <c r="A113" s="1">
        <v>1107</v>
      </c>
      <c r="B113" s="6" t="s">
        <v>106</v>
      </c>
      <c r="C113" s="7" t="s">
        <v>97</v>
      </c>
      <c r="D113" s="3" t="s">
        <v>107</v>
      </c>
      <c r="E113" s="3">
        <v>6</v>
      </c>
      <c r="F113" s="8">
        <v>133</v>
      </c>
      <c r="G113" s="10">
        <v>5</v>
      </c>
      <c r="H113" s="15">
        <v>46129</v>
      </c>
    </row>
    <row r="114" spans="1:8" ht="23.1" customHeight="1" x14ac:dyDescent="0.25">
      <c r="A114" s="1">
        <v>1108</v>
      </c>
      <c r="B114" s="6" t="s">
        <v>106</v>
      </c>
      <c r="C114" s="7" t="s">
        <v>97</v>
      </c>
      <c r="D114" s="3" t="s">
        <v>108</v>
      </c>
      <c r="E114" s="3">
        <v>1</v>
      </c>
      <c r="F114" s="8">
        <v>133</v>
      </c>
      <c r="G114" s="10">
        <v>5</v>
      </c>
    </row>
  </sheetData>
  <autoFilter ref="A6:H114"/>
  <mergeCells count="1">
    <mergeCell ref="C2:F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Practice</vt:lpstr>
      <vt:lpstr>Sales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2026-06-27T17:02:56Z</dcterms:created>
  <dcterms:modified xsi:type="dcterms:W3CDTF">2026-06-28T12:36:19Z</dcterms:modified>
</cp:coreProperties>
</file>